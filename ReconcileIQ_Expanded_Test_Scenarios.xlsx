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xecution Summary" sheetId="2" state="visible" r:id="rId2"/>
    <sheet name="Scenario Summary" sheetId="3" state="visible" r:id="rId3"/>
    <sheet name="Execution Guide" sheetId="4" state="visible" r:id="rId4"/>
  </sheets>
  <definedNames>
    <definedName name="_xlnm._FilterDatabase" localSheetId="0" hidden="1">'Test Cases'!$A$1:$K$303</definedName>
    <definedName name="_xlnm.Print_Titles" localSheetId="0">'Test Cases'!$1:$1</definedName>
    <definedName name="_xlnm._FilterDatabase" localSheetId="2" hidden="1">'Scenario Summary'!$A$1:$F$27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color rgb="0026364B"/>
      <sz val="10"/>
    </font>
    <font>
      <name val="Aptos"/>
      <b val="1"/>
      <color rgb="00315FD3"/>
      <sz val="10"/>
    </font>
    <font>
      <name val="Aptos"/>
      <b val="1"/>
      <color rgb="004C6283"/>
      <sz val="10"/>
    </font>
    <font>
      <b val="1"/>
      <color rgb="00FFFFFF"/>
      <sz val="10"/>
    </font>
    <font>
      <name val="Aptos Display"/>
      <b val="1"/>
      <color rgb="00FFFFFF"/>
      <sz val="18"/>
    </font>
    <font>
      <b val="1"/>
      <color rgb="0017263B"/>
      <sz val="10"/>
    </font>
    <font>
      <color rgb="0026364B"/>
      <sz val="10"/>
    </font>
  </fonts>
  <fills count="7">
    <fill>
      <patternFill/>
    </fill>
    <fill>
      <patternFill patternType="gray125"/>
    </fill>
    <fill>
      <patternFill patternType="solid">
        <fgColor rgb="0017263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EEF3FC"/>
      </patternFill>
    </fill>
  </fills>
  <borders count="2">
    <border>
      <left/>
      <right/>
      <top/>
      <bottom/>
      <diagonal/>
    </border>
    <border>
      <bottom style="thin">
        <color rgb="00D8E0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9" fontId="2" fillId="3" borderId="1" applyAlignment="1" pivotButton="0" quotePrefix="0" xfId="0">
      <alignment vertical="center" wrapText="1"/>
    </xf>
    <xf numFmtId="9" fontId="2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7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10" customWidth="1" min="4" max="4"/>
    <col width="34" customWidth="1" min="5" max="5"/>
    <col width="44" customWidth="1" min="6" max="6"/>
    <col width="48" customWidth="1" min="7" max="7"/>
    <col width="58" customWidth="1" min="8" max="8"/>
    <col width="42" customWidth="1" min="9" max="9"/>
    <col width="16" customWidth="1" min="10" max="10"/>
    <col width="48" customWidth="1" min="11" max="11"/>
  </cols>
  <sheetData>
    <row r="1" ht="34" customHeight="1">
      <c r="A1" s="1" t="inlineStr">
        <is>
          <t>Scenario ID</t>
        </is>
      </c>
      <c r="B1" s="1" t="inlineStr">
        <is>
          <t>Scenario</t>
        </is>
      </c>
      <c r="C1" s="1" t="inlineStr">
        <is>
          <t>Test Case ID</t>
        </is>
      </c>
      <c r="D1" s="1" t="inlineStr">
        <is>
          <t>Priority</t>
        </is>
      </c>
      <c r="E1" s="1" t="inlineStr">
        <is>
          <t>Test Case</t>
        </is>
      </c>
      <c r="F1" s="1" t="inlineStr">
        <is>
          <t>Preconditions / 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Screenshot / Evidence</t>
        </is>
      </c>
    </row>
    <row r="2" ht="63" customHeight="1">
      <c r="A2" s="2" t="inlineStr">
        <is>
          <t>ENV-01</t>
        </is>
      </c>
      <c r="B2" s="3" t="inlineStr">
        <is>
          <t>Environment and application launch</t>
        </is>
      </c>
      <c r="C2" s="4" t="inlineStr">
        <is>
          <t>TC-001</t>
        </is>
      </c>
      <c r="D2" s="3" t="inlineStr">
        <is>
          <t>P1</t>
        </is>
      </c>
      <c r="E2" s="3" t="inlineStr">
        <is>
          <t>Open dashboard</t>
        </is>
      </c>
      <c r="F2" s="3" t="inlineStr">
        <is>
          <t>Frontend dependencies installed.</t>
        </is>
      </c>
      <c r="G2" s="3" t="inlineStr">
        <is>
          <t>Open http://127.0.0.1:5173/reconciliation.</t>
        </is>
      </c>
      <c r="H2" s="3" t="inlineStr">
        <is>
          <t>Dashboard renders without a blank screen or uncaught client error.</t>
        </is>
      </c>
      <c r="I2" s="3" t="inlineStr">
        <is>
          <t>Not executed — record observed result during execution.</t>
        </is>
      </c>
      <c r="J2" s="5" t="inlineStr">
        <is>
          <t>Not Run</t>
        </is>
      </c>
      <c r="K2" s="3" t="inlineStr">
        <is>
          <t>Not captured — attach screenshot path or evidence link after execution.</t>
        </is>
      </c>
    </row>
    <row r="3" ht="63" customHeight="1">
      <c r="A3" s="6" t="inlineStr">
        <is>
          <t>ENV-01</t>
        </is>
      </c>
      <c r="B3" s="7" t="inlineStr">
        <is>
          <t>Environment and application launch</t>
        </is>
      </c>
      <c r="C3" s="8" t="inlineStr">
        <is>
          <t>TC-002</t>
        </is>
      </c>
      <c r="D3" s="7" t="inlineStr">
        <is>
          <t>P1</t>
        </is>
      </c>
      <c r="E3" s="7" t="inlineStr">
        <is>
          <t>Check backend health</t>
        </is>
      </c>
      <c r="F3" s="7" t="inlineStr">
        <is>
          <t>Backend is running.</t>
        </is>
      </c>
      <c r="G3" s="7" t="inlineStr">
        <is>
          <t>GET http://127.0.0.1:8000/.</t>
        </is>
      </c>
      <c r="H3" s="7" t="inlineStr">
        <is>
          <t>HTTP 200 reports healthy API status.</t>
        </is>
      </c>
      <c r="I3" s="7" t="inlineStr">
        <is>
          <t>Not executed — record observed result during execution.</t>
        </is>
      </c>
      <c r="J3" s="5" t="inlineStr">
        <is>
          <t>Not Run</t>
        </is>
      </c>
      <c r="K3" s="7" t="inlineStr">
        <is>
          <t>Not captured — attach screenshot path or evidence link after execution.</t>
        </is>
      </c>
    </row>
    <row r="4" ht="63" customHeight="1">
      <c r="A4" s="2" t="inlineStr">
        <is>
          <t>ENV-01</t>
        </is>
      </c>
      <c r="B4" s="3" t="inlineStr">
        <is>
          <t>Environment and application launch</t>
        </is>
      </c>
      <c r="C4" s="4" t="inlineStr">
        <is>
          <t>TC-003</t>
        </is>
      </c>
      <c r="D4" s="3" t="inlineStr">
        <is>
          <t>P1</t>
        </is>
      </c>
      <c r="E4" s="3" t="inlineStr">
        <is>
          <t>Open API documentation</t>
        </is>
      </c>
      <c r="F4" s="3" t="inlineStr">
        <is>
          <t>Backend is running.</t>
        </is>
      </c>
      <c r="G4" s="3" t="inlineStr">
        <is>
          <t>Open http://127.0.0.1:8000/docs.</t>
        </is>
      </c>
      <c r="H4" s="3" t="inlineStr">
        <is>
          <t>OpenAPI UI loads and lists preview, compare, results and report endpoints.</t>
        </is>
      </c>
      <c r="I4" s="3" t="inlineStr">
        <is>
          <t>Not executed — record observed result during execution.</t>
        </is>
      </c>
      <c r="J4" s="5" t="inlineStr">
        <is>
          <t>Not Run</t>
        </is>
      </c>
      <c r="K4" s="3" t="inlineStr">
        <is>
          <t>Not captured — attach screenshot path or evidence link after execution.</t>
        </is>
      </c>
    </row>
    <row r="5" ht="63" customHeight="1">
      <c r="A5" s="6" t="inlineStr">
        <is>
          <t>ENV-01</t>
        </is>
      </c>
      <c r="B5" s="7" t="inlineStr">
        <is>
          <t>Environment and application launch</t>
        </is>
      </c>
      <c r="C5" s="8" t="inlineStr">
        <is>
          <t>TC-004</t>
        </is>
      </c>
      <c r="D5" s="7" t="inlineStr">
        <is>
          <t>P1</t>
        </is>
      </c>
      <c r="E5" s="7" t="inlineStr">
        <is>
          <t>Refresh deep link</t>
        </is>
      </c>
      <c r="F5" s="7" t="inlineStr">
        <is>
          <t>Frontend is running.</t>
        </is>
      </c>
      <c r="G5" s="7" t="inlineStr">
        <is>
          <t>Open or refresh /reconciliation directly.</t>
        </is>
      </c>
      <c r="H5" s="7" t="inlineStr">
        <is>
          <t>SPA serves the reconciliation page, not a server 404.</t>
        </is>
      </c>
      <c r="I5" s="7" t="inlineStr">
        <is>
          <t>Not executed — record observed result during execution.</t>
        </is>
      </c>
      <c r="J5" s="5" t="inlineStr">
        <is>
          <t>Not Run</t>
        </is>
      </c>
      <c r="K5" s="7" t="inlineStr">
        <is>
          <t>Not captured — attach screenshot path or evidence link after execution.</t>
        </is>
      </c>
    </row>
    <row r="6" ht="63" customHeight="1">
      <c r="A6" s="2" t="inlineStr">
        <is>
          <t>ENV-01</t>
        </is>
      </c>
      <c r="B6" s="3" t="inlineStr">
        <is>
          <t>Environment and application launch</t>
        </is>
      </c>
      <c r="C6" s="4" t="inlineStr">
        <is>
          <t>TC-005</t>
        </is>
      </c>
      <c r="D6" s="3" t="inlineStr">
        <is>
          <t>P2</t>
        </is>
      </c>
      <c r="E6" s="3" t="inlineStr">
        <is>
          <t>Configure API origin</t>
        </is>
      </c>
      <c r="F6" s="3" t="inlineStr">
        <is>
          <t>Set VITE_API_URL to a reachable API origin.</t>
        </is>
      </c>
      <c r="G6" s="3" t="inlineStr">
        <is>
          <t>Restart Vite and upload a file; inspect network requests.</t>
        </is>
      </c>
      <c r="H6" s="3" t="inlineStr">
        <is>
          <t>Requests use configured API origin and succeed without CORS errors.</t>
        </is>
      </c>
      <c r="I6" s="3" t="inlineStr">
        <is>
          <t>Not executed — record observed result during execution.</t>
        </is>
      </c>
      <c r="J6" s="5" t="inlineStr">
        <is>
          <t>Not Run</t>
        </is>
      </c>
      <c r="K6" s="3" t="inlineStr">
        <is>
          <t>Not captured — attach screenshot path or evidence link after execution.</t>
        </is>
      </c>
    </row>
    <row r="7" ht="63" customHeight="1">
      <c r="A7" s="6" t="inlineStr">
        <is>
          <t>UI-01</t>
        </is>
      </c>
      <c r="B7" s="7" t="inlineStr">
        <is>
          <t>Navigation, theme and responsive layout</t>
        </is>
      </c>
      <c r="C7" s="8" t="inlineStr">
        <is>
          <t>TC-006</t>
        </is>
      </c>
      <c r="D7" s="7" t="inlineStr">
        <is>
          <t>P2</t>
        </is>
      </c>
      <c r="E7" s="7" t="inlineStr">
        <is>
          <t>Inspect dashboard shell</t>
        </is>
      </c>
      <c r="F7" s="7" t="inlineStr">
        <is>
          <t>Application open.</t>
        </is>
      </c>
      <c r="G7" s="7" t="inlineStr">
        <is>
          <t>Inspect brand, sidebar, top bar, profile, heading and footer.</t>
        </is>
      </c>
      <c r="H7" s="7" t="inlineStr">
        <is>
          <t>Enterprise dashboard shell is visible and aligned.</t>
        </is>
      </c>
      <c r="I7" s="7" t="inlineStr">
        <is>
          <t>Not executed — record observed result during execution.</t>
        </is>
      </c>
      <c r="J7" s="5" t="inlineStr">
        <is>
          <t>Not Run</t>
        </is>
      </c>
      <c r="K7" s="7" t="inlineStr">
        <is>
          <t>Not captured — attach screenshot path or evidence link after execution.</t>
        </is>
      </c>
    </row>
    <row r="8" ht="63" customHeight="1">
      <c r="A8" s="2" t="inlineStr">
        <is>
          <t>UI-01</t>
        </is>
      </c>
      <c r="B8" s="3" t="inlineStr">
        <is>
          <t>Navigation, theme and responsive layout</t>
        </is>
      </c>
      <c r="C8" s="4" t="inlineStr">
        <is>
          <t>TC-007</t>
        </is>
      </c>
      <c r="D8" s="3" t="inlineStr">
        <is>
          <t>P2</t>
        </is>
      </c>
      <c r="E8" s="3" t="inlineStr">
        <is>
          <t>Navigate sidebar sections</t>
        </is>
      </c>
      <c r="F8" s="3" t="inlineStr">
        <is>
          <t>Application open.</t>
        </is>
      </c>
      <c r="G8" s="3" t="inlineStr">
        <is>
          <t>Select Overview, Reconciliation, Data sources, Reports, Settings and Help.</t>
        </is>
      </c>
      <c r="H8" s="3" t="inlineStr">
        <is>
          <t>Relevant dashboard anchors are reached; navigation causes no error.</t>
        </is>
      </c>
      <c r="I8" s="3" t="inlineStr">
        <is>
          <t>Not executed — record observed result during execution.</t>
        </is>
      </c>
      <c r="J8" s="5" t="inlineStr">
        <is>
          <t>Not Run</t>
        </is>
      </c>
      <c r="K8" s="3" t="inlineStr">
        <is>
          <t>Not captured — attach screenshot path or evidence link after execution.</t>
        </is>
      </c>
    </row>
    <row r="9" ht="63" customHeight="1">
      <c r="A9" s="6" t="inlineStr">
        <is>
          <t>UI-01</t>
        </is>
      </c>
      <c r="B9" s="7" t="inlineStr">
        <is>
          <t>Navigation, theme and responsive layout</t>
        </is>
      </c>
      <c r="C9" s="8" t="inlineStr">
        <is>
          <t>TC-008</t>
        </is>
      </c>
      <c r="D9" s="7" t="inlineStr">
        <is>
          <t>P2</t>
        </is>
      </c>
      <c r="E9" s="7" t="inlineStr">
        <is>
          <t>Switch to dark theme</t>
        </is>
      </c>
      <c r="F9" s="7" t="inlineStr">
        <is>
          <t>Light theme active.</t>
        </is>
      </c>
      <c r="G9" s="7" t="inlineStr">
        <is>
          <t>Activate moon/theme control.</t>
        </is>
      </c>
      <c r="H9" s="7" t="inlineStr">
        <is>
          <t>Dark palette is applied; text and controls remain legible.</t>
        </is>
      </c>
      <c r="I9" s="7" t="inlineStr">
        <is>
          <t>Not executed — record observed result during execution.</t>
        </is>
      </c>
      <c r="J9" s="5" t="inlineStr">
        <is>
          <t>Not Run</t>
        </is>
      </c>
      <c r="K9" s="7" t="inlineStr">
        <is>
          <t>Not captured — attach screenshot path or evidence link after execution.</t>
        </is>
      </c>
    </row>
    <row r="10" ht="63" customHeight="1">
      <c r="A10" s="2" t="inlineStr">
        <is>
          <t>UI-01</t>
        </is>
      </c>
      <c r="B10" s="3" t="inlineStr">
        <is>
          <t>Navigation, theme and responsive layout</t>
        </is>
      </c>
      <c r="C10" s="4" t="inlineStr">
        <is>
          <t>TC-009</t>
        </is>
      </c>
      <c r="D10" s="3" t="inlineStr">
        <is>
          <t>P2</t>
        </is>
      </c>
      <c r="E10" s="3" t="inlineStr">
        <is>
          <t>Switch back to light theme</t>
        </is>
      </c>
      <c r="F10" s="3" t="inlineStr">
        <is>
          <t>Dark theme active.</t>
        </is>
      </c>
      <c r="G10" s="3" t="inlineStr">
        <is>
          <t>Activate sun/theme control.</t>
        </is>
      </c>
      <c r="H10" s="3" t="inlineStr">
        <is>
          <t>Light palette is restored without losing current page state.</t>
        </is>
      </c>
      <c r="I10" s="3" t="inlineStr">
        <is>
          <t>Not executed — record observed result during execution.</t>
        </is>
      </c>
      <c r="J10" s="5" t="inlineStr">
        <is>
          <t>Not Run</t>
        </is>
      </c>
      <c r="K10" s="3" t="inlineStr">
        <is>
          <t>Not captured — attach screenshot path or evidence link after execution.</t>
        </is>
      </c>
    </row>
    <row r="11" ht="63" customHeight="1">
      <c r="A11" s="6" t="inlineStr">
        <is>
          <t>UI-01</t>
        </is>
      </c>
      <c r="B11" s="7" t="inlineStr">
        <is>
          <t>Navigation, theme and responsive layout</t>
        </is>
      </c>
      <c r="C11" s="8" t="inlineStr">
        <is>
          <t>TC-010</t>
        </is>
      </c>
      <c r="D11" s="7" t="inlineStr">
        <is>
          <t>P2</t>
        </is>
      </c>
      <c r="E11" s="7" t="inlineStr">
        <is>
          <t>Check tablet/mobile layout</t>
        </is>
      </c>
      <c r="F11" s="7" t="inlineStr">
        <is>
          <t>Browser viewport can be resized.</t>
        </is>
      </c>
      <c r="G11" s="7" t="inlineStr">
        <is>
          <t>Check 768px and 390px viewport widths; scroll all sections.</t>
        </is>
      </c>
      <c r="H11" s="7" t="inlineStr">
        <is>
          <t>Sidebar adapts; cards and controls remain usable without page-wide overflow.</t>
        </is>
      </c>
      <c r="I11" s="7" t="inlineStr">
        <is>
          <t>Not executed — record observed result during execution.</t>
        </is>
      </c>
      <c r="J11" s="5" t="inlineStr">
        <is>
          <t>Not Run</t>
        </is>
      </c>
      <c r="K11" s="7" t="inlineStr">
        <is>
          <t>Not captured — attach screenshot path or evidence link after execution.</t>
        </is>
      </c>
    </row>
    <row r="12" ht="63" customHeight="1">
      <c r="A12" s="2" t="inlineStr">
        <is>
          <t>UI-01</t>
        </is>
      </c>
      <c r="B12" s="3" t="inlineStr">
        <is>
          <t>Navigation, theme and responsive layout</t>
        </is>
      </c>
      <c r="C12" s="4" t="inlineStr">
        <is>
          <t>TC-011</t>
        </is>
      </c>
      <c r="D12" s="3" t="inlineStr">
        <is>
          <t>P2</t>
        </is>
      </c>
      <c r="E12" s="3" t="inlineStr">
        <is>
          <t>Keyboard navigation</t>
        </is>
      </c>
      <c r="F12" s="3" t="inlineStr">
        <is>
          <t>Dashboard open.</t>
        </is>
      </c>
      <c r="G12" s="3" t="inlineStr">
        <is>
          <t>Use Tab, Shift+Tab, Enter and Space through navigation and controls.</t>
        </is>
      </c>
      <c r="H12" s="3" t="inlineStr">
        <is>
          <t>Controls are reachable and have visible focus; no keyboard trap.</t>
        </is>
      </c>
      <c r="I12" s="3" t="inlineStr">
        <is>
          <t>Not executed — record observed result during execution.</t>
        </is>
      </c>
      <c r="J12" s="5" t="inlineStr">
        <is>
          <t>Not Run</t>
        </is>
      </c>
      <c r="K12" s="3" t="inlineStr">
        <is>
          <t>Not captured — attach screenshot path or evidence link after execution.</t>
        </is>
      </c>
    </row>
    <row r="13" ht="63" customHeight="1">
      <c r="A13" s="6" t="inlineStr">
        <is>
          <t>UPL-01</t>
        </is>
      </c>
      <c r="B13" s="7" t="inlineStr">
        <is>
          <t>Upload and file validation</t>
        </is>
      </c>
      <c r="C13" s="8" t="inlineStr">
        <is>
          <t>TC-012</t>
        </is>
      </c>
      <c r="D13" s="7" t="inlineStr">
        <is>
          <t>P1</t>
        </is>
      </c>
      <c r="E13" s="7" t="inlineStr">
        <is>
          <t>Upload source CSV</t>
        </is>
      </c>
      <c r="F13" s="7" t="inlineStr">
        <is>
          <t>CSV has header and records.</t>
        </is>
      </c>
      <c r="G13" s="7" t="inlineStr">
        <is>
          <t>Drop or browse to a valid CSV.</t>
        </is>
      </c>
      <c r="H13" s="7" t="inlineStr">
        <is>
          <t>File accepted; name, size, browser modified date, record count and preview display.</t>
        </is>
      </c>
      <c r="I13" s="7" t="inlineStr">
        <is>
          <t>Not executed — record observed result during execution.</t>
        </is>
      </c>
      <c r="J13" s="5" t="inlineStr">
        <is>
          <t>Not Run</t>
        </is>
      </c>
      <c r="K13" s="7" t="inlineStr">
        <is>
          <t>Not captured — attach screenshot path or evidence link after execution.</t>
        </is>
      </c>
    </row>
    <row r="14" ht="63" customHeight="1">
      <c r="A14" s="2" t="inlineStr">
        <is>
          <t>UPL-01</t>
        </is>
      </c>
      <c r="B14" s="3" t="inlineStr">
        <is>
          <t>Upload and file validation</t>
        </is>
      </c>
      <c r="C14" s="4" t="inlineStr">
        <is>
          <t>TC-013</t>
        </is>
      </c>
      <c r="D14" s="3" t="inlineStr">
        <is>
          <t>P1</t>
        </is>
      </c>
      <c r="E14" s="3" t="inlineStr">
        <is>
          <t>Upload target XLSX</t>
        </is>
      </c>
      <c r="F14" s="3" t="inlineStr">
        <is>
          <t>Valid XLSX workbook with data sheet.</t>
        </is>
      </c>
      <c r="G14" s="3" t="inlineStr">
        <is>
          <t>Select the XLSX file.</t>
        </is>
      </c>
      <c r="H14" s="3" t="inlineStr">
        <is>
          <t>File accepted; details and parsed preview display.</t>
        </is>
      </c>
      <c r="I14" s="3" t="inlineStr">
        <is>
          <t>Not executed — record observed result during execution.</t>
        </is>
      </c>
      <c r="J14" s="5" t="inlineStr">
        <is>
          <t>Not Run</t>
        </is>
      </c>
      <c r="K14" s="3" t="inlineStr">
        <is>
          <t>Not captured — attach screenshot path or evidence link after execution.</t>
        </is>
      </c>
    </row>
    <row r="15" ht="63" customHeight="1">
      <c r="A15" s="6" t="inlineStr">
        <is>
          <t>UPL-01</t>
        </is>
      </c>
      <c r="B15" s="7" t="inlineStr">
        <is>
          <t>Upload and file validation</t>
        </is>
      </c>
      <c r="C15" s="8" t="inlineStr">
        <is>
          <t>TC-014</t>
        </is>
      </c>
      <c r="D15" s="7" t="inlineStr">
        <is>
          <t>P1</t>
        </is>
      </c>
      <c r="E15" s="7" t="inlineStr">
        <is>
          <t>Upload legacy XLS</t>
        </is>
      </c>
      <c r="F15" s="7" t="inlineStr">
        <is>
          <t>Valid XLS workbook.</t>
        </is>
      </c>
      <c r="G15" s="7" t="inlineStr">
        <is>
          <t>Select the XLS file.</t>
        </is>
      </c>
      <c r="H15" s="7" t="inlineStr">
        <is>
          <t>File accepted and records parse correctly.</t>
        </is>
      </c>
      <c r="I15" s="7" t="inlineStr">
        <is>
          <t>Not executed — record observed result during execution.</t>
        </is>
      </c>
      <c r="J15" s="5" t="inlineStr">
        <is>
          <t>Not Run</t>
        </is>
      </c>
      <c r="K15" s="7" t="inlineStr">
        <is>
          <t>Not captured — attach screenshot path or evidence link after execution.</t>
        </is>
      </c>
    </row>
    <row r="16" ht="63" customHeight="1">
      <c r="A16" s="2" t="inlineStr">
        <is>
          <t>UPL-01</t>
        </is>
      </c>
      <c r="B16" s="3" t="inlineStr">
        <is>
          <t>Upload and file validation</t>
        </is>
      </c>
      <c r="C16" s="4" t="inlineStr">
        <is>
          <t>TC-015</t>
        </is>
      </c>
      <c r="D16" s="3" t="inlineStr">
        <is>
          <t>P1</t>
        </is>
      </c>
      <c r="E16" s="3" t="inlineStr">
        <is>
          <t>Upload delimited TXT</t>
        </is>
      </c>
      <c r="F16" s="3" t="inlineStr">
        <is>
          <t>Tab-delimited TXT with header.</t>
        </is>
      </c>
      <c r="G16" s="3" t="inlineStr">
        <is>
          <t>Select the TXT file.</t>
        </is>
      </c>
      <c r="H16" s="3" t="inlineStr">
        <is>
          <t>File accepted; delimiter, columns and records parse correctly.</t>
        </is>
      </c>
      <c r="I16" s="3" t="inlineStr">
        <is>
          <t>Not executed — record observed result during execution.</t>
        </is>
      </c>
      <c r="J16" s="5" t="inlineStr">
        <is>
          <t>Not Run</t>
        </is>
      </c>
      <c r="K16" s="3" t="inlineStr">
        <is>
          <t>Not captured — attach screenshot path or evidence link after execution.</t>
        </is>
      </c>
    </row>
    <row r="17" ht="63" customHeight="1">
      <c r="A17" s="6" t="inlineStr">
        <is>
          <t>UPL-01</t>
        </is>
      </c>
      <c r="B17" s="7" t="inlineStr">
        <is>
          <t>Upload and file validation</t>
        </is>
      </c>
      <c r="C17" s="8" t="inlineStr">
        <is>
          <t>TC-016</t>
        </is>
      </c>
      <c r="D17" s="7" t="inlineStr">
        <is>
          <t>P1</t>
        </is>
      </c>
      <c r="E17" s="7" t="inlineStr">
        <is>
          <t>Reject unsupported extension</t>
        </is>
      </c>
      <c r="F17" s="7" t="inlineStr">
        <is>
          <t>Prepare PDF/image file.</t>
        </is>
      </c>
      <c r="G17" s="7" t="inlineStr">
        <is>
          <t>Attempt to select/drop it.</t>
        </is>
      </c>
      <c r="H17" s="7" t="inlineStr">
        <is>
          <t>File rejected with clear message; invalid file is not selected.</t>
        </is>
      </c>
      <c r="I17" s="7" t="inlineStr">
        <is>
          <t>Not executed — record observed result during execution.</t>
        </is>
      </c>
      <c r="J17" s="5" t="inlineStr">
        <is>
          <t>Not Run</t>
        </is>
      </c>
      <c r="K17" s="7" t="inlineStr">
        <is>
          <t>Not captured — attach screenshot path or evidence link after execution.</t>
        </is>
      </c>
    </row>
    <row r="18" ht="63" customHeight="1">
      <c r="A18" s="2" t="inlineStr">
        <is>
          <t>UPL-01</t>
        </is>
      </c>
      <c r="B18" s="3" t="inlineStr">
        <is>
          <t>Upload and file validation</t>
        </is>
      </c>
      <c r="C18" s="4" t="inlineStr">
        <is>
          <t>TC-017</t>
        </is>
      </c>
      <c r="D18" s="3" t="inlineStr">
        <is>
          <t>P1</t>
        </is>
      </c>
      <c r="E18" s="3" t="inlineStr">
        <is>
          <t>Reject empty file</t>
        </is>
      </c>
      <c r="F18" s="3" t="inlineStr">
        <is>
          <t>Prepare zero-byte CSV.</t>
        </is>
      </c>
      <c r="G18" s="3" t="inlineStr">
        <is>
          <t>Upload the file.</t>
        </is>
      </c>
      <c r="H18" s="3" t="inlineStr">
        <is>
          <t>Clear empty-file error; no success preview.</t>
        </is>
      </c>
      <c r="I18" s="3" t="inlineStr">
        <is>
          <t>Not executed — record observed result during execution.</t>
        </is>
      </c>
      <c r="J18" s="5" t="inlineStr">
        <is>
          <t>Not Run</t>
        </is>
      </c>
      <c r="K18" s="3" t="inlineStr">
        <is>
          <t>Not captured — attach screenshot path or evidence link after execution.</t>
        </is>
      </c>
    </row>
    <row r="19" ht="63" customHeight="1">
      <c r="A19" s="6" t="inlineStr">
        <is>
          <t>UPL-01</t>
        </is>
      </c>
      <c r="B19" s="7" t="inlineStr">
        <is>
          <t>Upload and file validation</t>
        </is>
      </c>
      <c r="C19" s="8" t="inlineStr">
        <is>
          <t>TC-018</t>
        </is>
      </c>
      <c r="D19" s="7" t="inlineStr">
        <is>
          <t>P1</t>
        </is>
      </c>
      <c r="E19" s="7" t="inlineStr">
        <is>
          <t>Reject malformed contents</t>
        </is>
      </c>
      <c r="F19" s="7" t="inlineStr">
        <is>
          <t>Invalid bytes with supported extension.</t>
        </is>
      </c>
      <c r="G19" s="7" t="inlineStr">
        <is>
          <t>Upload malformed CSV or workbook.</t>
        </is>
      </c>
      <c r="H19" s="7" t="inlineStr">
        <is>
          <t>Controlled parse error; page remains usable.</t>
        </is>
      </c>
      <c r="I19" s="7" t="inlineStr">
        <is>
          <t>Not executed — record observed result during execution.</t>
        </is>
      </c>
      <c r="J19" s="5" t="inlineStr">
        <is>
          <t>Not Run</t>
        </is>
      </c>
      <c r="K19" s="7" t="inlineStr">
        <is>
          <t>Not captured — attach screenshot path or evidence link after execution.</t>
        </is>
      </c>
    </row>
    <row r="20" ht="63" customHeight="1">
      <c r="A20" s="2" t="inlineStr">
        <is>
          <t>UPL-01</t>
        </is>
      </c>
      <c r="B20" s="3" t="inlineStr">
        <is>
          <t>Upload and file validation</t>
        </is>
      </c>
      <c r="C20" s="4" t="inlineStr">
        <is>
          <t>TC-019</t>
        </is>
      </c>
      <c r="D20" s="3" t="inlineStr">
        <is>
          <t>P1</t>
        </is>
      </c>
      <c r="E20" s="3" t="inlineStr">
        <is>
          <t>Enforce 100 MB limit</t>
        </is>
      </c>
      <c r="F20" s="3" t="inlineStr">
        <is>
          <t>Supported file larger than 100 MB.</t>
        </is>
      </c>
      <c r="G20" s="3" t="inlineStr">
        <is>
          <t>POST to /api/preview or upload in UI.</t>
        </is>
      </c>
      <c r="H20" s="3" t="inlineStr">
        <is>
          <t>Request rejected with explicit limit; no preview is returned.</t>
        </is>
      </c>
      <c r="I20" s="3" t="inlineStr">
        <is>
          <t>Not executed — record observed result during execution.</t>
        </is>
      </c>
      <c r="J20" s="5" t="inlineStr">
        <is>
          <t>Not Run</t>
        </is>
      </c>
      <c r="K20" s="3" t="inlineStr">
        <is>
          <t>Not captured — attach screenshot path or evidence link after execution.</t>
        </is>
      </c>
    </row>
    <row r="21" ht="63" customHeight="1">
      <c r="A21" s="6" t="inlineStr">
        <is>
          <t>UPL-01</t>
        </is>
      </c>
      <c r="B21" s="7" t="inlineStr">
        <is>
          <t>Upload and file validation</t>
        </is>
      </c>
      <c r="C21" s="8" t="inlineStr">
        <is>
          <t>TC-020</t>
        </is>
      </c>
      <c r="D21" s="7" t="inlineStr">
        <is>
          <t>P2</t>
        </is>
      </c>
      <c r="E21" s="7" t="inlineStr">
        <is>
          <t>Replace selected file</t>
        </is>
      </c>
      <c r="F21" s="7" t="inlineStr">
        <is>
          <t>One valid file is selected.</t>
        </is>
      </c>
      <c r="G21" s="7" t="inlineStr">
        <is>
          <t>Select a different valid file on same side.</t>
        </is>
      </c>
      <c r="H21" s="7" t="inlineStr">
        <is>
          <t>New details and preview replace old; old comparison results clear.</t>
        </is>
      </c>
      <c r="I21" s="7" t="inlineStr">
        <is>
          <t>Not executed — record observed result during execution.</t>
        </is>
      </c>
      <c r="J21" s="5" t="inlineStr">
        <is>
          <t>Not Run</t>
        </is>
      </c>
      <c r="K21" s="7" t="inlineStr">
        <is>
          <t>Not captured — attach screenshot path or evidence link after execution.</t>
        </is>
      </c>
    </row>
    <row r="22" ht="63" customHeight="1">
      <c r="A22" s="2" t="inlineStr">
        <is>
          <t>UPL-01</t>
        </is>
      </c>
      <c r="B22" s="3" t="inlineStr">
        <is>
          <t>Upload and file validation</t>
        </is>
      </c>
      <c r="C22" s="4" t="inlineStr">
        <is>
          <t>TC-021</t>
        </is>
      </c>
      <c r="D22" s="3" t="inlineStr">
        <is>
          <t>P2</t>
        </is>
      </c>
      <c r="E22" s="3" t="inlineStr">
        <is>
          <t>Remove selected file</t>
        </is>
      </c>
      <c r="F22" s="3" t="inlineStr">
        <is>
          <t>A file is selected.</t>
        </is>
      </c>
      <c r="G22" s="3" t="inlineStr">
        <is>
          <t>Click Remove file.</t>
        </is>
      </c>
      <c r="H22" s="3" t="inlineStr">
        <is>
          <t>File and preview clear; compare disabled until both files are selected.</t>
        </is>
      </c>
      <c r="I22" s="3" t="inlineStr">
        <is>
          <t>Not executed — record observed result during execution.</t>
        </is>
      </c>
      <c r="J22" s="5" t="inlineStr">
        <is>
          <t>Not Run</t>
        </is>
      </c>
      <c r="K22" s="3" t="inlineStr">
        <is>
          <t>Not captured — attach screenshot path or evidence link after execution.</t>
        </is>
      </c>
    </row>
    <row r="23" ht="63" customHeight="1">
      <c r="A23" s="6" t="inlineStr">
        <is>
          <t>UPL-01</t>
        </is>
      </c>
      <c r="B23" s="7" t="inlineStr">
        <is>
          <t>Upload and file validation</t>
        </is>
      </c>
      <c r="C23" s="8" t="inlineStr">
        <is>
          <t>TC-022</t>
        </is>
      </c>
      <c r="D23" s="7" t="inlineStr">
        <is>
          <t>P2</t>
        </is>
      </c>
      <c r="E23" s="7" t="inlineStr">
        <is>
          <t>Long filename layout</t>
        </is>
      </c>
      <c r="F23" s="7" t="inlineStr">
        <is>
          <t>Valid file has a very long name.</t>
        </is>
      </c>
      <c r="G23" s="7" t="inlineStr">
        <is>
          <t>Upload and inspect file card.</t>
        </is>
      </c>
      <c r="H23" s="7" t="inlineStr">
        <is>
          <t>Name truncates safely; layout remains intact and full name is accessible.</t>
        </is>
      </c>
      <c r="I23" s="7" t="inlineStr">
        <is>
          <t>Not executed — record observed result during execution.</t>
        </is>
      </c>
      <c r="J23" s="5" t="inlineStr">
        <is>
          <t>Not Run</t>
        </is>
      </c>
      <c r="K23" s="7" t="inlineStr">
        <is>
          <t>Not captured — attach screenshot path or evidence link after execution.</t>
        </is>
      </c>
    </row>
    <row r="24" ht="63" customHeight="1">
      <c r="A24" s="2" t="inlineStr">
        <is>
          <t>PRE-01</t>
        </is>
      </c>
      <c r="B24" s="3" t="inlineStr">
        <is>
          <t>Data preview and inspection</t>
        </is>
      </c>
      <c r="C24" s="4" t="inlineStr">
        <is>
          <t>TC-023</t>
        </is>
      </c>
      <c r="D24" s="3" t="inlineStr">
        <is>
          <t>P1</t>
        </is>
      </c>
      <c r="E24" s="3" t="inlineStr">
        <is>
          <t>Preview first 10 source rows</t>
        </is>
      </c>
      <c r="F24" s="3" t="inlineStr">
        <is>
          <t>Source contains &gt;10 records.</t>
        </is>
      </c>
      <c r="G24" s="3" t="inlineStr">
        <is>
          <t>Upload source and inspect Source preview.</t>
        </is>
      </c>
      <c r="H24" s="3" t="inlineStr">
        <is>
          <t>First 10 rows shown; full record count reported.</t>
        </is>
      </c>
      <c r="I24" s="3" t="inlineStr">
        <is>
          <t>Not executed — record observed result during execution.</t>
        </is>
      </c>
      <c r="J24" s="5" t="inlineStr">
        <is>
          <t>Not Run</t>
        </is>
      </c>
      <c r="K24" s="3" t="inlineStr">
        <is>
          <t>Not captured — attach screenshot path or evidence link after execution.</t>
        </is>
      </c>
    </row>
    <row r="25" ht="63" customHeight="1">
      <c r="A25" s="6" t="inlineStr">
        <is>
          <t>PRE-01</t>
        </is>
      </c>
      <c r="B25" s="7" t="inlineStr">
        <is>
          <t>Data preview and inspection</t>
        </is>
      </c>
      <c r="C25" s="8" t="inlineStr">
        <is>
          <t>TC-024</t>
        </is>
      </c>
      <c r="D25" s="7" t="inlineStr">
        <is>
          <t>P1</t>
        </is>
      </c>
      <c r="E25" s="7" t="inlineStr">
        <is>
          <t>Preview target independently</t>
        </is>
      </c>
      <c r="F25" s="7" t="inlineStr">
        <is>
          <t>Source and target have different data.</t>
        </is>
      </c>
      <c r="G25" s="7" t="inlineStr">
        <is>
          <t>Inspect Target preview.</t>
        </is>
      </c>
      <c r="H25" s="7" t="inlineStr">
        <is>
          <t>Target columns/rows shown independently of source.</t>
        </is>
      </c>
      <c r="I25" s="7" t="inlineStr">
        <is>
          <t>Not executed — record observed result during execution.</t>
        </is>
      </c>
      <c r="J25" s="5" t="inlineStr">
        <is>
          <t>Not Run</t>
        </is>
      </c>
      <c r="K25" s="7" t="inlineStr">
        <is>
          <t>Not captured — attach screenshot path or evidence link after execution.</t>
        </is>
      </c>
    </row>
    <row r="26" ht="63" customHeight="1">
      <c r="A26" s="2" t="inlineStr">
        <is>
          <t>PRE-01</t>
        </is>
      </c>
      <c r="B26" s="3" t="inlineStr">
        <is>
          <t>Data preview and inspection</t>
        </is>
      </c>
      <c r="C26" s="4" t="inlineStr">
        <is>
          <t>TC-025</t>
        </is>
      </c>
      <c r="D26" s="3" t="inlineStr">
        <is>
          <t>P2</t>
        </is>
      </c>
      <c r="E26" s="3" t="inlineStr">
        <is>
          <t>Paginate preview</t>
        </is>
      </c>
      <c r="F26" s="3" t="inlineStr">
        <is>
          <t>At least six preview rows.</t>
        </is>
      </c>
      <c r="G26" s="3" t="inlineStr">
        <is>
          <t>Use preview table pagination.</t>
        </is>
      </c>
      <c r="H26" s="3" t="inlineStr">
        <is>
          <t>Next preview page shows correct records.</t>
        </is>
      </c>
      <c r="I26" s="3" t="inlineStr">
        <is>
          <t>Not executed — record observed result during execution.</t>
        </is>
      </c>
      <c r="J26" s="5" t="inlineStr">
        <is>
          <t>Not Run</t>
        </is>
      </c>
      <c r="K26" s="3" t="inlineStr">
        <is>
          <t>Not captured — attach screenshot path or evidence link after execution.</t>
        </is>
      </c>
    </row>
    <row r="27" ht="63" customHeight="1">
      <c r="A27" s="6" t="inlineStr">
        <is>
          <t>PRE-01</t>
        </is>
      </c>
      <c r="B27" s="7" t="inlineStr">
        <is>
          <t>Data preview and inspection</t>
        </is>
      </c>
      <c r="C27" s="8" t="inlineStr">
        <is>
          <t>TC-026</t>
        </is>
      </c>
      <c r="D27" s="7" t="inlineStr">
        <is>
          <t>P2</t>
        </is>
      </c>
      <c r="E27" s="7" t="inlineStr">
        <is>
          <t>Search preview rows</t>
        </is>
      </c>
      <c r="F27" s="7" t="inlineStr">
        <is>
          <t>Preview includes known values.</t>
        </is>
      </c>
      <c r="G27" s="7" t="inlineStr">
        <is>
          <t>Search for a present and absent value; clear search.</t>
        </is>
      </c>
      <c r="H27" s="7" t="inlineStr">
        <is>
          <t>Matches display; no-match empty state displays; clear restores data.</t>
        </is>
      </c>
      <c r="I27" s="7" t="inlineStr">
        <is>
          <t>Not executed — record observed result during execution.</t>
        </is>
      </c>
      <c r="J27" s="5" t="inlineStr">
        <is>
          <t>Not Run</t>
        </is>
      </c>
      <c r="K27" s="7" t="inlineStr">
        <is>
          <t>Not captured — attach screenshot path or evidence link after execution.</t>
        </is>
      </c>
    </row>
    <row r="28" ht="63" customHeight="1">
      <c r="A28" s="2" t="inlineStr">
        <is>
          <t>PRE-01</t>
        </is>
      </c>
      <c r="B28" s="3" t="inlineStr">
        <is>
          <t>Data preview and inspection</t>
        </is>
      </c>
      <c r="C28" s="4" t="inlineStr">
        <is>
          <t>TC-027</t>
        </is>
      </c>
      <c r="D28" s="3" t="inlineStr">
        <is>
          <t>P2</t>
        </is>
      </c>
      <c r="E28" s="3" t="inlineStr">
        <is>
          <t>Sort preview column</t>
        </is>
      </c>
      <c r="F28" s="3" t="inlineStr">
        <is>
          <t>Preview has sortable values.</t>
        </is>
      </c>
      <c r="G28" s="3" t="inlineStr">
        <is>
          <t>Click a column header twice.</t>
        </is>
      </c>
      <c r="H28" s="3" t="inlineStr">
        <is>
          <t>Ascending and descending order work.</t>
        </is>
      </c>
      <c r="I28" s="3" t="inlineStr">
        <is>
          <t>Not executed — record observed result during execution.</t>
        </is>
      </c>
      <c r="J28" s="5" t="inlineStr">
        <is>
          <t>Not Run</t>
        </is>
      </c>
      <c r="K28" s="3" t="inlineStr">
        <is>
          <t>Not captured — attach screenshot path or evidence link after execution.</t>
        </is>
      </c>
    </row>
    <row r="29" ht="63" customHeight="1">
      <c r="A29" s="6" t="inlineStr">
        <is>
          <t>PRE-01</t>
        </is>
      </c>
      <c r="B29" s="7" t="inlineStr">
        <is>
          <t>Data preview and inspection</t>
        </is>
      </c>
      <c r="C29" s="8" t="inlineStr">
        <is>
          <t>TC-028</t>
        </is>
      </c>
      <c r="D29" s="7" t="inlineStr">
        <is>
          <t>P2</t>
        </is>
      </c>
      <c r="E29" s="7" t="inlineStr">
        <is>
          <t>Render null/empty values</t>
        </is>
      </c>
      <c r="F29" s="7" t="inlineStr">
        <is>
          <t>Input has blanks/nulls.</t>
        </is>
      </c>
      <c r="G29" s="7" t="inlineStr">
        <is>
          <t>Upload and inspect preview.</t>
        </is>
      </c>
      <c r="H29" s="7" t="inlineStr">
        <is>
          <t>Blank values render safely; no NaN/undefined leakage.</t>
        </is>
      </c>
      <c r="I29" s="7" t="inlineStr">
        <is>
          <t>Not executed — record observed result during execution.</t>
        </is>
      </c>
      <c r="J29" s="5" t="inlineStr">
        <is>
          <t>Not Run</t>
        </is>
      </c>
      <c r="K29" s="7" t="inlineStr">
        <is>
          <t>Not captured — attach screenshot path or evidence link after execution.</t>
        </is>
      </c>
    </row>
    <row r="30" ht="63" customHeight="1">
      <c r="A30" s="2" t="inlineStr">
        <is>
          <t>CFG-01</t>
        </is>
      </c>
      <c r="B30" s="3" t="inlineStr">
        <is>
          <t>Comparison settings and key selection</t>
        </is>
      </c>
      <c r="C30" s="4" t="inlineStr">
        <is>
          <t>TC-029</t>
        </is>
      </c>
      <c r="D30" s="3" t="inlineStr">
        <is>
          <t>P1</t>
        </is>
      </c>
      <c r="E30" s="3" t="inlineStr">
        <is>
          <t>Detect shared columns</t>
        </is>
      </c>
      <c r="F30" s="3" t="inlineStr">
        <is>
          <t>Source and target schemas overlap partially.</t>
        </is>
      </c>
      <c r="G30" s="3" t="inlineStr">
        <is>
          <t>Upload both files.</t>
        </is>
      </c>
      <c r="H30" s="3" t="inlineStr">
        <is>
          <t>Only shared columns appear as key choices.</t>
        </is>
      </c>
      <c r="I30" s="3" t="inlineStr">
        <is>
          <t>Not executed — record observed result during execution.</t>
        </is>
      </c>
      <c r="J30" s="5" t="inlineStr">
        <is>
          <t>Not Run</t>
        </is>
      </c>
      <c r="K30" s="3" t="inlineStr">
        <is>
          <t>Not captured — attach screenshot path or evidence link after execution.</t>
        </is>
      </c>
    </row>
    <row r="31" ht="63" customHeight="1">
      <c r="A31" s="6" t="inlineStr">
        <is>
          <t>CFG-01</t>
        </is>
      </c>
      <c r="B31" s="7" t="inlineStr">
        <is>
          <t>Comparison settings and key selection</t>
        </is>
      </c>
      <c r="C31" s="8" t="inlineStr">
        <is>
          <t>TC-030</t>
        </is>
      </c>
      <c r="D31" s="7" t="inlineStr">
        <is>
          <t>P1</t>
        </is>
      </c>
      <c r="E31" s="7" t="inlineStr">
        <is>
          <t>Default EMPID key</t>
        </is>
      </c>
      <c r="F31" s="7" t="inlineStr">
        <is>
          <t>Both files have EMPID.</t>
        </is>
      </c>
      <c r="G31" s="7" t="inlineStr">
        <is>
          <t>Upload both and inspect selector.</t>
        </is>
      </c>
      <c r="H31" s="7" t="inlineStr">
        <is>
          <t>EMPID is selected by default.</t>
        </is>
      </c>
      <c r="I31" s="7" t="inlineStr">
        <is>
          <t>Not executed — record observed result during execution.</t>
        </is>
      </c>
      <c r="J31" s="5" t="inlineStr">
        <is>
          <t>Not Run</t>
        </is>
      </c>
      <c r="K31" s="7" t="inlineStr">
        <is>
          <t>Not captured — attach screenshot path or evidence link after execution.</t>
        </is>
      </c>
    </row>
    <row r="32" ht="63" customHeight="1">
      <c r="A32" s="2" t="inlineStr">
        <is>
          <t>CFG-01</t>
        </is>
      </c>
      <c r="B32" s="3" t="inlineStr">
        <is>
          <t>Comparison settings and key selection</t>
        </is>
      </c>
      <c r="C32" s="4" t="inlineStr">
        <is>
          <t>TC-031</t>
        </is>
      </c>
      <c r="D32" s="3" t="inlineStr">
        <is>
          <t>P1</t>
        </is>
      </c>
      <c r="E32" s="3" t="inlineStr">
        <is>
          <t>Select alternate key</t>
        </is>
      </c>
      <c r="F32" s="3" t="inlineStr">
        <is>
          <t>Both files share another unique key.</t>
        </is>
      </c>
      <c r="G32" s="3" t="inlineStr">
        <is>
          <t>Select it and compare.</t>
        </is>
      </c>
      <c r="H32" s="3" t="inlineStr">
        <is>
          <t>Selected key is used and reported in metadata.</t>
        </is>
      </c>
      <c r="I32" s="3" t="inlineStr">
        <is>
          <t>Not executed — record observed result during execution.</t>
        </is>
      </c>
      <c r="J32" s="5" t="inlineStr">
        <is>
          <t>Not Run</t>
        </is>
      </c>
      <c r="K32" s="3" t="inlineStr">
        <is>
          <t>Not captured — attach screenshot path or evidence link after execution.</t>
        </is>
      </c>
    </row>
    <row r="33" ht="63" customHeight="1">
      <c r="A33" s="6" t="inlineStr">
        <is>
          <t>CFG-01</t>
        </is>
      </c>
      <c r="B33" s="7" t="inlineStr">
        <is>
          <t>Comparison settings and key selection</t>
        </is>
      </c>
      <c r="C33" s="8" t="inlineStr">
        <is>
          <t>TC-032</t>
        </is>
      </c>
      <c r="D33" s="7" t="inlineStr">
        <is>
          <t>P1</t>
        </is>
      </c>
      <c r="E33" s="7" t="inlineStr">
        <is>
          <t>Select composite key</t>
        </is>
      </c>
      <c r="F33" s="7" t="inlineStr">
        <is>
          <t>Two columns jointly form a unique key.</t>
        </is>
      </c>
      <c r="G33" s="7" t="inlineStr">
        <is>
          <t>Select both columns and compare.</t>
        </is>
      </c>
      <c r="H33" s="7" t="inlineStr">
        <is>
          <t>Composite key determines matching; both fields appear in metadata.</t>
        </is>
      </c>
      <c r="I33" s="7" t="inlineStr">
        <is>
          <t>Not executed — record observed result during execution.</t>
        </is>
      </c>
      <c r="J33" s="5" t="inlineStr">
        <is>
          <t>Not Run</t>
        </is>
      </c>
      <c r="K33" s="7" t="inlineStr">
        <is>
          <t>Not captured — attach screenshot path or evidence link after execution.</t>
        </is>
      </c>
    </row>
    <row r="34" ht="63" customHeight="1">
      <c r="A34" s="2" t="inlineStr">
        <is>
          <t>CFG-01</t>
        </is>
      </c>
      <c r="B34" s="3" t="inlineStr">
        <is>
          <t>Comparison settings and key selection</t>
        </is>
      </c>
      <c r="C34" s="4" t="inlineStr">
        <is>
          <t>TC-033</t>
        </is>
      </c>
      <c r="D34" s="3" t="inlineStr">
        <is>
          <t>P1</t>
        </is>
      </c>
      <c r="E34" s="3" t="inlineStr">
        <is>
          <t>Clear all keys</t>
        </is>
      </c>
      <c r="F34" s="3" t="inlineStr">
        <is>
          <t>Both files loaded.</t>
        </is>
      </c>
      <c r="G34" s="3" t="inlineStr">
        <is>
          <t>Clear all key values and try compare.</t>
        </is>
      </c>
      <c r="H34" s="3" t="inlineStr">
        <is>
          <t>Comparison is prevented and a choose-key warning appears.</t>
        </is>
      </c>
      <c r="I34" s="3" t="inlineStr">
        <is>
          <t>Not executed — record observed result during execution.</t>
        </is>
      </c>
      <c r="J34" s="5" t="inlineStr">
        <is>
          <t>Not Run</t>
        </is>
      </c>
      <c r="K34" s="3" t="inlineStr">
        <is>
          <t>Not captured — attach screenshot path or evidence link after execution.</t>
        </is>
      </c>
    </row>
    <row r="35" ht="63" customHeight="1">
      <c r="A35" s="6" t="inlineStr">
        <is>
          <t>CFG-01</t>
        </is>
      </c>
      <c r="B35" s="7" t="inlineStr">
        <is>
          <t>Comparison settings and key selection</t>
        </is>
      </c>
      <c r="C35" s="8" t="inlineStr">
        <is>
          <t>TC-034</t>
        </is>
      </c>
      <c r="D35" s="7" t="inlineStr">
        <is>
          <t>P1</t>
        </is>
      </c>
      <c r="E35" s="7" t="inlineStr">
        <is>
          <t>Reject key absent in one file</t>
        </is>
      </c>
      <c r="F35" s="7" t="inlineStr">
        <is>
          <t>API request specifies a key absent in target.</t>
        </is>
      </c>
      <c r="G35" s="7" t="inlineStr">
        <is>
          <t>POST /api/compare.</t>
        </is>
      </c>
      <c r="H35" s="7" t="inlineStr">
        <is>
          <t>HTTP 400 identifies missing key on target.</t>
        </is>
      </c>
      <c r="I35" s="7" t="inlineStr">
        <is>
          <t>Not executed — record observed result during execution.</t>
        </is>
      </c>
      <c r="J35" s="5" t="inlineStr">
        <is>
          <t>Not Run</t>
        </is>
      </c>
      <c r="K35" s="7" t="inlineStr">
        <is>
          <t>Not captured — attach screenshot path or evidence link after execution.</t>
        </is>
      </c>
    </row>
    <row r="36" ht="63" customHeight="1">
      <c r="A36" s="2" t="inlineStr">
        <is>
          <t>CFG-01</t>
        </is>
      </c>
      <c r="B36" s="3" t="inlineStr">
        <is>
          <t>Comparison settings and key selection</t>
        </is>
      </c>
      <c r="C36" s="4" t="inlineStr">
        <is>
          <t>TC-035</t>
        </is>
      </c>
      <c r="D36" s="3" t="inlineStr">
        <is>
          <t>P1</t>
        </is>
      </c>
      <c r="E36" s="3" t="inlineStr">
        <is>
          <t>Ignore case setting</t>
        </is>
      </c>
      <c r="F36" s="3" t="inlineStr">
        <is>
          <t>Values differ only by case.</t>
        </is>
      </c>
      <c r="G36" s="3" t="inlineStr">
        <is>
          <t>Compare with Ignore case off and on.</t>
        </is>
      </c>
      <c r="H36" s="3" t="inlineStr">
        <is>
          <t>Off reports difference; on treats values equal.</t>
        </is>
      </c>
      <c r="I36" s="3" t="inlineStr">
        <is>
          <t>Not executed — record observed result during execution.</t>
        </is>
      </c>
      <c r="J36" s="5" t="inlineStr">
        <is>
          <t>Not Run</t>
        </is>
      </c>
      <c r="K36" s="3" t="inlineStr">
        <is>
          <t>Not captured — attach screenshot path or evidence link after execution.</t>
        </is>
      </c>
    </row>
    <row r="37" ht="63" customHeight="1">
      <c r="A37" s="6" t="inlineStr">
        <is>
          <t>CFG-01</t>
        </is>
      </c>
      <c r="B37" s="7" t="inlineStr">
        <is>
          <t>Comparison settings and key selection</t>
        </is>
      </c>
      <c r="C37" s="8" t="inlineStr">
        <is>
          <t>TC-036</t>
        </is>
      </c>
      <c r="D37" s="7" t="inlineStr">
        <is>
          <t>P1</t>
        </is>
      </c>
      <c r="E37" s="7" t="inlineStr">
        <is>
          <t>Ignore whitespace setting</t>
        </is>
      </c>
      <c r="F37" s="7" t="inlineStr">
        <is>
          <t>Values differ by whitespace.</t>
        </is>
      </c>
      <c r="G37" s="7" t="inlineStr">
        <is>
          <t>Compare with setting on and off.</t>
        </is>
      </c>
      <c r="H37" s="7" t="inlineStr">
        <is>
          <t>On removes whitespace differences; off preserves them.</t>
        </is>
      </c>
      <c r="I37" s="7" t="inlineStr">
        <is>
          <t>Not executed — record observed result during execution.</t>
        </is>
      </c>
      <c r="J37" s="5" t="inlineStr">
        <is>
          <t>Not Run</t>
        </is>
      </c>
      <c r="K37" s="7" t="inlineStr">
        <is>
          <t>Not captured — attach screenshot path or evidence link after execution.</t>
        </is>
      </c>
    </row>
    <row r="38" ht="63" customHeight="1">
      <c r="A38" s="2" t="inlineStr">
        <is>
          <t>CFG-01</t>
        </is>
      </c>
      <c r="B38" s="3" t="inlineStr">
        <is>
          <t>Comparison settings and key selection</t>
        </is>
      </c>
      <c r="C38" s="4" t="inlineStr">
        <is>
          <t>TC-037</t>
        </is>
      </c>
      <c r="D38" s="3" t="inlineStr">
        <is>
          <t>P1</t>
        </is>
      </c>
      <c r="E38" s="3" t="inlineStr">
        <is>
          <t>Ignore null differences setting</t>
        </is>
      </c>
      <c r="F38" s="3" t="inlineStr">
        <is>
          <t>One value null/blank and other populated.</t>
        </is>
      </c>
      <c r="G38" s="3" t="inlineStr">
        <is>
          <t>Compare with option off then on.</t>
        </is>
      </c>
      <c r="H38" s="3" t="inlineStr">
        <is>
          <t>Off reports mismatch; on suppresses it.</t>
        </is>
      </c>
      <c r="I38" s="3" t="inlineStr">
        <is>
          <t>Not executed — record observed result during execution.</t>
        </is>
      </c>
      <c r="J38" s="5" t="inlineStr">
        <is>
          <t>Not Run</t>
        </is>
      </c>
      <c r="K38" s="3" t="inlineStr">
        <is>
          <t>Not captured — attach screenshot path or evidence link after execution.</t>
        </is>
      </c>
    </row>
    <row r="39" ht="63" customHeight="1">
      <c r="A39" s="6" t="inlineStr">
        <is>
          <t>CMP-01</t>
        </is>
      </c>
      <c r="B39" s="7" t="inlineStr">
        <is>
          <t>Reconciliation correctness and summary</t>
        </is>
      </c>
      <c r="C39" s="8" t="inlineStr">
        <is>
          <t>TC-038</t>
        </is>
      </c>
      <c r="D39" s="7" t="inlineStr">
        <is>
          <t>P1</t>
        </is>
      </c>
      <c r="E39" s="7" t="inlineStr">
        <is>
          <t>Compare identical datasets</t>
        </is>
      </c>
      <c r="F39" s="7" t="inlineStr">
        <is>
          <t>Source and target identical with unique keys.</t>
        </is>
      </c>
      <c r="G39" s="7" t="inlineStr">
        <is>
          <t>Upload and compare.</t>
        </is>
      </c>
      <c r="H39" s="7" t="inlineStr">
        <is>
          <t>All records match; zero exceptions; success rate 100%; empty result state.</t>
        </is>
      </c>
      <c r="I39" s="7" t="inlineStr">
        <is>
          <t>Not executed — record observed result during execution.</t>
        </is>
      </c>
      <c r="J39" s="5" t="inlineStr">
        <is>
          <t>Not Run</t>
        </is>
      </c>
      <c r="K39" s="7" t="inlineStr">
        <is>
          <t>Not captured — attach screenshot path or evidence link after execution.</t>
        </is>
      </c>
    </row>
    <row r="40" ht="63" customHeight="1">
      <c r="A40" s="2" t="inlineStr">
        <is>
          <t>CMP-01</t>
        </is>
      </c>
      <c r="B40" s="3" t="inlineStr">
        <is>
          <t>Reconciliation correctness and summary</t>
        </is>
      </c>
      <c r="C40" s="4" t="inlineStr">
        <is>
          <t>TC-039</t>
        </is>
      </c>
      <c r="D40" s="3" t="inlineStr">
        <is>
          <t>P1</t>
        </is>
      </c>
      <c r="E40" s="3" t="inlineStr">
        <is>
          <t>Detect one changed cell</t>
        </is>
      </c>
      <c r="F40" s="3" t="inlineStr">
        <is>
          <t>One shared key has one changed non-key value.</t>
        </is>
      </c>
      <c r="G40" s="3" t="inlineStr">
        <is>
          <t>Compare the files.</t>
        </is>
      </c>
      <c r="H40" s="3" t="inlineStr">
        <is>
          <t>Mismatch row has key, column, source/target values and Value changed type.</t>
        </is>
      </c>
      <c r="I40" s="3" t="inlineStr">
        <is>
          <t>Not executed — record observed result during execution.</t>
        </is>
      </c>
      <c r="J40" s="5" t="inlineStr">
        <is>
          <t>Not Run</t>
        </is>
      </c>
      <c r="K40" s="3" t="inlineStr">
        <is>
          <t>Not captured — attach screenshot path or evidence link after execution.</t>
        </is>
      </c>
    </row>
    <row r="41" ht="63" customHeight="1">
      <c r="A41" s="6" t="inlineStr">
        <is>
          <t>CMP-01</t>
        </is>
      </c>
      <c r="B41" s="7" t="inlineStr">
        <is>
          <t>Reconciliation correctness and summary</t>
        </is>
      </c>
      <c r="C41" s="8" t="inlineStr">
        <is>
          <t>TC-040</t>
        </is>
      </c>
      <c r="D41" s="7" t="inlineStr">
        <is>
          <t>P1</t>
        </is>
      </c>
      <c r="E41" s="7" t="inlineStr">
        <is>
          <t>Multiple changed columns on one record</t>
        </is>
      </c>
      <c r="F41" s="7" t="inlineStr">
        <is>
          <t>One shared record has two changed columns.</t>
        </is>
      </c>
      <c r="G41" s="7" t="inlineStr">
        <is>
          <t>Compare the files.</t>
        </is>
      </c>
      <c r="H41" s="7" t="inlineStr">
        <is>
          <t>Two difference rows; mismatched-record KPI counts that key once.</t>
        </is>
      </c>
      <c r="I41" s="7" t="inlineStr">
        <is>
          <t>Not executed — record observed result during execution.</t>
        </is>
      </c>
      <c r="J41" s="5" t="inlineStr">
        <is>
          <t>Not Run</t>
        </is>
      </c>
      <c r="K41" s="7" t="inlineStr">
        <is>
          <t>Not captured — attach screenshot path or evidence link after execution.</t>
        </is>
      </c>
    </row>
    <row r="42" ht="63" customHeight="1">
      <c r="A42" s="2" t="inlineStr">
        <is>
          <t>CMP-01</t>
        </is>
      </c>
      <c r="B42" s="3" t="inlineStr">
        <is>
          <t>Reconciliation correctness and summary</t>
        </is>
      </c>
      <c r="C42" s="4" t="inlineStr">
        <is>
          <t>TC-041</t>
        </is>
      </c>
      <c r="D42" s="3" t="inlineStr">
        <is>
          <t>P1</t>
        </is>
      </c>
      <c r="E42" s="3" t="inlineStr">
        <is>
          <t>Record missing from target</t>
        </is>
      </c>
      <c r="F42" s="3" t="inlineStr">
        <is>
          <t>Source contains a key absent from target.</t>
        </is>
      </c>
      <c r="G42" s="3" t="inlineStr">
        <is>
          <t>Compare files.</t>
        </is>
      </c>
      <c r="H42" s="3" t="inlineStr">
        <is>
          <t>Missing in Target exception; missing-in-target KPI increments.</t>
        </is>
      </c>
      <c r="I42" s="3" t="inlineStr">
        <is>
          <t>Not executed — record observed result during execution.</t>
        </is>
      </c>
      <c r="J42" s="5" t="inlineStr">
        <is>
          <t>Not Run</t>
        </is>
      </c>
      <c r="K42" s="3" t="inlineStr">
        <is>
          <t>Not captured — attach screenshot path or evidence link after execution.</t>
        </is>
      </c>
    </row>
    <row r="43" ht="63" customHeight="1">
      <c r="A43" s="6" t="inlineStr">
        <is>
          <t>CMP-01</t>
        </is>
      </c>
      <c r="B43" s="7" t="inlineStr">
        <is>
          <t>Reconciliation correctness and summary</t>
        </is>
      </c>
      <c r="C43" s="8" t="inlineStr">
        <is>
          <t>TC-042</t>
        </is>
      </c>
      <c r="D43" s="7" t="inlineStr">
        <is>
          <t>P1</t>
        </is>
      </c>
      <c r="E43" s="7" t="inlineStr">
        <is>
          <t>Record missing from source</t>
        </is>
      </c>
      <c r="F43" s="7" t="inlineStr">
        <is>
          <t>Target contains a key absent from source.</t>
        </is>
      </c>
      <c r="G43" s="7" t="inlineStr">
        <is>
          <t>Compare files.</t>
        </is>
      </c>
      <c r="H43" s="7" t="inlineStr">
        <is>
          <t>Missing in Source exception; missing-in-source KPI increments.</t>
        </is>
      </c>
      <c r="I43" s="7" t="inlineStr">
        <is>
          <t>Not executed — record observed result during execution.</t>
        </is>
      </c>
      <c r="J43" s="5" t="inlineStr">
        <is>
          <t>Not Run</t>
        </is>
      </c>
      <c r="K43" s="7" t="inlineStr">
        <is>
          <t>Not captured — attach screenshot path or evidence link after execution.</t>
        </is>
      </c>
    </row>
    <row r="44" ht="63" customHeight="1">
      <c r="A44" s="2" t="inlineStr">
        <is>
          <t>CMP-01</t>
        </is>
      </c>
      <c r="B44" s="3" t="inlineStr">
        <is>
          <t>Reconciliation correctness and summary</t>
        </is>
      </c>
      <c r="C44" s="4" t="inlineStr">
        <is>
          <t>TC-043</t>
        </is>
      </c>
      <c r="D44" s="3" t="inlineStr">
        <is>
          <t>P1</t>
        </is>
      </c>
      <c r="E44" s="3" t="inlineStr">
        <is>
          <t>Verify summary arithmetic</t>
        </is>
      </c>
      <c r="F44" s="3" t="inlineStr">
        <is>
          <t>Source keys 1,2,3; target keys 1,2,4; key 2 differs and key 1 matches.</t>
        </is>
      </c>
      <c r="G44" s="3" t="inlineStr">
        <is>
          <t>Compare files.</t>
        </is>
      </c>
      <c r="H44" s="3" t="inlineStr">
        <is>
          <t>Total=4, matched=1, mismatched=1, missing_source=1, missing_target=1, success=25%.</t>
        </is>
      </c>
      <c r="I44" s="3" t="inlineStr">
        <is>
          <t>Not executed — record observed result during execution.</t>
        </is>
      </c>
      <c r="J44" s="5" t="inlineStr">
        <is>
          <t>Not Run</t>
        </is>
      </c>
      <c r="K44" s="3" t="inlineStr">
        <is>
          <t>Not captured — attach screenshot path or evidence link after execution.</t>
        </is>
      </c>
    </row>
    <row r="45" ht="63" customHeight="1">
      <c r="A45" s="6" t="inlineStr">
        <is>
          <t>CMP-01</t>
        </is>
      </c>
      <c r="B45" s="7" t="inlineStr">
        <is>
          <t>Reconciliation correctness and summary</t>
        </is>
      </c>
      <c r="C45" s="8" t="inlineStr">
        <is>
          <t>TC-044</t>
        </is>
      </c>
      <c r="D45" s="7" t="inlineStr">
        <is>
          <t>P1</t>
        </is>
      </c>
      <c r="E45" s="7" t="inlineStr">
        <is>
          <t>Empty datasets with headers</t>
        </is>
      </c>
      <c r="F45" s="7" t="inlineStr">
        <is>
          <t>Both files have headers and zero rows.</t>
        </is>
      </c>
      <c r="G45" s="7" t="inlineStr">
        <is>
          <t>Compare with a valid shared key.</t>
        </is>
      </c>
      <c r="H45" s="7" t="inlineStr">
        <is>
          <t>Zero total and differences; defined success rate; no server error.</t>
        </is>
      </c>
      <c r="I45" s="7" t="inlineStr">
        <is>
          <t>Not executed — record observed result during execution.</t>
        </is>
      </c>
      <c r="J45" s="5" t="inlineStr">
        <is>
          <t>Not Run</t>
        </is>
      </c>
      <c r="K45" s="7" t="inlineStr">
        <is>
          <t>Not captured — attach screenshot path or evidence link after execution.</t>
        </is>
      </c>
    </row>
    <row r="46" ht="63" customHeight="1">
      <c r="A46" s="2" t="inlineStr">
        <is>
          <t>CMP-01</t>
        </is>
      </c>
      <c r="B46" s="3" t="inlineStr">
        <is>
          <t>Reconciliation correctness and summary</t>
        </is>
      </c>
      <c r="C46" s="4" t="inlineStr">
        <is>
          <t>TC-045</t>
        </is>
      </c>
      <c r="D46" s="3" t="inlineStr">
        <is>
          <t>P1</t>
        </is>
      </c>
      <c r="E46" s="3" t="inlineStr">
        <is>
          <t>Reject duplicate source keys</t>
        </is>
      </c>
      <c r="F46" s="3" t="inlineStr">
        <is>
          <t>Source repeats a selected key.</t>
        </is>
      </c>
      <c r="G46" s="3" t="inlineStr">
        <is>
          <t>Run comparison.</t>
        </is>
      </c>
      <c r="H46" s="3" t="inlineStr">
        <is>
          <t>Clear duplicate-key validation; no summary is presented.</t>
        </is>
      </c>
      <c r="I46" s="3" t="inlineStr">
        <is>
          <t>Not executed — record observed result during execution.</t>
        </is>
      </c>
      <c r="J46" s="5" t="inlineStr">
        <is>
          <t>Not Run</t>
        </is>
      </c>
      <c r="K46" s="3" t="inlineStr">
        <is>
          <t>Not captured — attach screenshot path or evidence link after execution.</t>
        </is>
      </c>
    </row>
    <row r="47" ht="63" customHeight="1">
      <c r="A47" s="6" t="inlineStr">
        <is>
          <t>CMP-01</t>
        </is>
      </c>
      <c r="B47" s="7" t="inlineStr">
        <is>
          <t>Reconciliation correctness and summary</t>
        </is>
      </c>
      <c r="C47" s="8" t="inlineStr">
        <is>
          <t>TC-046</t>
        </is>
      </c>
      <c r="D47" s="7" t="inlineStr">
        <is>
          <t>P1</t>
        </is>
      </c>
      <c r="E47" s="7" t="inlineStr">
        <is>
          <t>Reject duplicate target keys</t>
        </is>
      </c>
      <c r="F47" s="7" t="inlineStr">
        <is>
          <t>Target repeats a selected key.</t>
        </is>
      </c>
      <c r="G47" s="7" t="inlineStr">
        <is>
          <t>Run comparison.</t>
        </is>
      </c>
      <c r="H47" s="7" t="inlineStr">
        <is>
          <t>Clear duplicate-key validation.</t>
        </is>
      </c>
      <c r="I47" s="7" t="inlineStr">
        <is>
          <t>Not executed — record observed result during execution.</t>
        </is>
      </c>
      <c r="J47" s="5" t="inlineStr">
        <is>
          <t>Not Run</t>
        </is>
      </c>
      <c r="K47" s="7" t="inlineStr">
        <is>
          <t>Not captured — attach screenshot path or evidence link after execution.</t>
        </is>
      </c>
    </row>
    <row r="48" ht="63" customHeight="1">
      <c r="A48" s="2" t="inlineStr">
        <is>
          <t>CMP-01</t>
        </is>
      </c>
      <c r="B48" s="3" t="inlineStr">
        <is>
          <t>Reconciliation correctness and summary</t>
        </is>
      </c>
      <c r="C48" s="4" t="inlineStr">
        <is>
          <t>TC-047</t>
        </is>
      </c>
      <c r="D48" s="3" t="inlineStr">
        <is>
          <t>P1</t>
        </is>
      </c>
      <c r="E48" s="3" t="inlineStr">
        <is>
          <t>Reject blank/null key</t>
        </is>
      </c>
      <c r="F48" s="3" t="inlineStr">
        <is>
          <t>At least one selected key is blank/null.</t>
        </is>
      </c>
      <c r="G48" s="3" t="inlineStr">
        <is>
          <t>Run comparison.</t>
        </is>
      </c>
      <c r="H48" s="3" t="inlineStr">
        <is>
          <t>Clear empty-key validation.</t>
        </is>
      </c>
      <c r="I48" s="3" t="inlineStr">
        <is>
          <t>Not executed — record observed result during execution.</t>
        </is>
      </c>
      <c r="J48" s="5" t="inlineStr">
        <is>
          <t>Not Run</t>
        </is>
      </c>
      <c r="K48" s="3" t="inlineStr">
        <is>
          <t>Not captured — attach screenshot path or evidence link after execution.</t>
        </is>
      </c>
    </row>
    <row r="49" ht="63" customHeight="1">
      <c r="A49" s="6" t="inlineStr">
        <is>
          <t>CMP-01</t>
        </is>
      </c>
      <c r="B49" s="7" t="inlineStr">
        <is>
          <t>Reconciliation correctness and summary</t>
        </is>
      </c>
      <c r="C49" s="8" t="inlineStr">
        <is>
          <t>TC-048</t>
        </is>
      </c>
      <c r="D49" s="7" t="inlineStr">
        <is>
          <t>P2</t>
        </is>
      </c>
      <c r="E49" s="7" t="inlineStr">
        <is>
          <t>Normalize numeric key types</t>
        </is>
      </c>
      <c r="F49" s="7" t="inlineStr">
        <is>
          <t>Same logical key parsed as 1 and 1.0.</t>
        </is>
      </c>
      <c r="G49" s="7" t="inlineStr">
        <is>
          <t>Compare files.</t>
        </is>
      </c>
      <c r="H49" s="7" t="inlineStr">
        <is>
          <t>Equivalent numeric key is matched.</t>
        </is>
      </c>
      <c r="I49" s="7" t="inlineStr">
        <is>
          <t>Not executed — record observed result during execution.</t>
        </is>
      </c>
      <c r="J49" s="5" t="inlineStr">
        <is>
          <t>Not Run</t>
        </is>
      </c>
      <c r="K49" s="7" t="inlineStr">
        <is>
          <t>Not captured — attach screenshot path or evidence link after execution.</t>
        </is>
      </c>
    </row>
    <row r="50" ht="63" customHeight="1">
      <c r="A50" s="2" t="inlineStr">
        <is>
          <t>CMP-01</t>
        </is>
      </c>
      <c r="B50" s="3" t="inlineStr">
        <is>
          <t>Reconciliation correctness and summary</t>
        </is>
      </c>
      <c r="C50" s="4" t="inlineStr">
        <is>
          <t>TC-049</t>
        </is>
      </c>
      <c r="D50" s="3" t="inlineStr">
        <is>
          <t>P2</t>
        </is>
      </c>
      <c r="E50" s="3" t="inlineStr">
        <is>
          <t>Handle asymmetric columns</t>
        </is>
      </c>
      <c r="F50" s="3" t="inlineStr">
        <is>
          <t>One input contains an extra non-key column.</t>
        </is>
      </c>
      <c r="G50" s="3" t="inlineStr">
        <is>
          <t>Compare files.</t>
        </is>
      </c>
      <c r="H50" s="3" t="inlineStr">
        <is>
          <t>Extra field is reported as Column missing for shared records.</t>
        </is>
      </c>
      <c r="I50" s="3" t="inlineStr">
        <is>
          <t>Not executed — record observed result during execution.</t>
        </is>
      </c>
      <c r="J50" s="5" t="inlineStr">
        <is>
          <t>Not Run</t>
        </is>
      </c>
      <c r="K50" s="3" t="inlineStr">
        <is>
          <t>Not captured — attach screenshot path or evidence link after execution.</t>
        </is>
      </c>
    </row>
    <row r="51" ht="63" customHeight="1">
      <c r="A51" s="6" t="inlineStr">
        <is>
          <t>CMP-01</t>
        </is>
      </c>
      <c r="B51" s="7" t="inlineStr">
        <is>
          <t>Reconciliation correctness and summary</t>
        </is>
      </c>
      <c r="C51" s="8" t="inlineStr">
        <is>
          <t>TC-050</t>
        </is>
      </c>
      <c r="D51" s="7" t="inlineStr">
        <is>
          <t>P2</t>
        </is>
      </c>
      <c r="E51" s="7" t="inlineStr">
        <is>
          <t>Check numeric formatting behavior</t>
        </is>
      </c>
      <c r="F51" s="7" t="inlineStr">
        <is>
          <t>Same business amount appears as 1 and 1.00.</t>
        </is>
      </c>
      <c r="G51" s="7" t="inlineStr">
        <is>
          <t>Compare and inspect raw values.</t>
        </is>
      </c>
      <c r="H51" s="7" t="inlineStr">
        <is>
          <t>Behavior matches documented normalization; any difference is explained with raw values.</t>
        </is>
      </c>
      <c r="I51" s="7" t="inlineStr">
        <is>
          <t>Not executed — record observed result during execution.</t>
        </is>
      </c>
      <c r="J51" s="5" t="inlineStr">
        <is>
          <t>Not Run</t>
        </is>
      </c>
      <c r="K51" s="7" t="inlineStr">
        <is>
          <t>Not captured — attach screenshot path or evidence link after execution.</t>
        </is>
      </c>
    </row>
    <row r="52" ht="63" customHeight="1">
      <c r="A52" s="2" t="inlineStr">
        <is>
          <t>FIL-01</t>
        </is>
      </c>
      <c r="B52" s="3" t="inlineStr">
        <is>
          <t>Results table filtering and selection</t>
        </is>
      </c>
      <c r="C52" s="4" t="inlineStr">
        <is>
          <t>TC-051</t>
        </is>
      </c>
      <c r="D52" s="3" t="inlineStr">
        <is>
          <t>P1</t>
        </is>
      </c>
      <c r="E52" s="3" t="inlineStr">
        <is>
          <t>Check required result columns</t>
        </is>
      </c>
      <c r="F52" s="3" t="inlineStr">
        <is>
          <t>Comparison has exceptions.</t>
        </is>
      </c>
      <c r="G52" s="3" t="inlineStr">
        <is>
          <t>Inspect Difference detail table.</t>
        </is>
      </c>
      <c r="H52" s="3" t="inlineStr">
        <is>
          <t>Primary key, Column, Source value, Target value, Status and Difference type appear.</t>
        </is>
      </c>
      <c r="I52" s="3" t="inlineStr">
        <is>
          <t>Not executed — record observed result during execution.</t>
        </is>
      </c>
      <c r="J52" s="5" t="inlineStr">
        <is>
          <t>Not Run</t>
        </is>
      </c>
      <c r="K52" s="3" t="inlineStr">
        <is>
          <t>Not captured — attach screenshot path or evidence link after execution.</t>
        </is>
      </c>
    </row>
    <row r="53" ht="63" customHeight="1">
      <c r="A53" s="6" t="inlineStr">
        <is>
          <t>FIL-01</t>
        </is>
      </c>
      <c r="B53" s="7" t="inlineStr">
        <is>
          <t>Results table filtering and selection</t>
        </is>
      </c>
      <c r="C53" s="8" t="inlineStr">
        <is>
          <t>TC-052</t>
        </is>
      </c>
      <c r="D53" s="7" t="inlineStr">
        <is>
          <t>P1</t>
        </is>
      </c>
      <c r="E53" s="7" t="inlineStr">
        <is>
          <t>Filter by status</t>
        </is>
      </c>
      <c r="F53" s="7" t="inlineStr">
        <is>
          <t>Results contain mismatch and missing rows.</t>
        </is>
      </c>
      <c r="G53" s="7" t="inlineStr">
        <is>
          <t>Select each status filter and clear it.</t>
        </is>
      </c>
      <c r="H53" s="7" t="inlineStr">
        <is>
          <t>Only selected status appears; clear restores all rows.</t>
        </is>
      </c>
      <c r="I53" s="7" t="inlineStr">
        <is>
          <t>Not executed — record observed result during execution.</t>
        </is>
      </c>
      <c r="J53" s="5" t="inlineStr">
        <is>
          <t>Not Run</t>
        </is>
      </c>
      <c r="K53" s="7" t="inlineStr">
        <is>
          <t>Not captured — attach screenshot path or evidence link after execution.</t>
        </is>
      </c>
    </row>
    <row r="54" ht="63" customHeight="1">
      <c r="A54" s="2" t="inlineStr">
        <is>
          <t>FIL-01</t>
        </is>
      </c>
      <c r="B54" s="3" t="inlineStr">
        <is>
          <t>Results table filtering and selection</t>
        </is>
      </c>
      <c r="C54" s="4" t="inlineStr">
        <is>
          <t>TC-053</t>
        </is>
      </c>
      <c r="D54" s="3" t="inlineStr">
        <is>
          <t>P1</t>
        </is>
      </c>
      <c r="E54" s="3" t="inlineStr">
        <is>
          <t>Filter by column</t>
        </is>
      </c>
      <c r="F54" s="3" t="inlineStr">
        <is>
          <t>Differences occur in multiple columns.</t>
        </is>
      </c>
      <c r="G54" s="3" t="inlineStr">
        <is>
          <t>Enter a column name; clear it.</t>
        </is>
      </c>
      <c r="H54" s="3" t="inlineStr">
        <is>
          <t>Matching column rows show; clear restores all.</t>
        </is>
      </c>
      <c r="I54" s="3" t="inlineStr">
        <is>
          <t>Not executed — record observed result during execution.</t>
        </is>
      </c>
      <c r="J54" s="5" t="inlineStr">
        <is>
          <t>Not Run</t>
        </is>
      </c>
      <c r="K54" s="3" t="inlineStr">
        <is>
          <t>Not captured — attach screenshot path or evidence link after execution.</t>
        </is>
      </c>
    </row>
    <row r="55" ht="63" customHeight="1">
      <c r="A55" s="6" t="inlineStr">
        <is>
          <t>FIL-01</t>
        </is>
      </c>
      <c r="B55" s="7" t="inlineStr">
        <is>
          <t>Results table filtering and selection</t>
        </is>
      </c>
      <c r="C55" s="8" t="inlineStr">
        <is>
          <t>TC-054</t>
        </is>
      </c>
      <c r="D55" s="7" t="inlineStr">
        <is>
          <t>P1</t>
        </is>
      </c>
      <c r="E55" s="7" t="inlineStr">
        <is>
          <t>Search keys and values</t>
        </is>
      </c>
      <c r="F55" s="7" t="inlineStr">
        <is>
          <t>Known key and values appear in results.</t>
        </is>
      </c>
      <c r="G55" s="7" t="inlineStr">
        <is>
          <t>Search each value and literal regex characters.</t>
        </is>
      </c>
      <c r="H55" s="7" t="inlineStr">
        <is>
          <t>Search matches literal text across result values without regex errors.</t>
        </is>
      </c>
      <c r="I55" s="7" t="inlineStr">
        <is>
          <t>Not executed — record observed result during execution.</t>
        </is>
      </c>
      <c r="J55" s="5" t="inlineStr">
        <is>
          <t>Not Run</t>
        </is>
      </c>
      <c r="K55" s="7" t="inlineStr">
        <is>
          <t>Not captured — attach screenshot path or evidence link after execution.</t>
        </is>
      </c>
    </row>
    <row r="56" ht="63" customHeight="1">
      <c r="A56" s="2" t="inlineStr">
        <is>
          <t>FIL-01</t>
        </is>
      </c>
      <c r="B56" s="3" t="inlineStr">
        <is>
          <t>Results table filtering and selection</t>
        </is>
      </c>
      <c r="C56" s="4" t="inlineStr">
        <is>
          <t>TC-055</t>
        </is>
      </c>
      <c r="D56" s="3" t="inlineStr">
        <is>
          <t>P1</t>
        </is>
      </c>
      <c r="E56" s="3" t="inlineStr">
        <is>
          <t>Paginate result rows</t>
        </is>
      </c>
      <c r="F56" s="3" t="inlineStr">
        <is>
          <t>More than 10 differences.</t>
        </is>
      </c>
      <c r="G56" s="3" t="inlineStr">
        <is>
          <t>Move between result pages.</t>
        </is>
      </c>
      <c r="H56" s="3" t="inlineStr">
        <is>
          <t>Correct rows appear and total remains accurate.</t>
        </is>
      </c>
      <c r="I56" s="3" t="inlineStr">
        <is>
          <t>Not executed — record observed result during execution.</t>
        </is>
      </c>
      <c r="J56" s="5" t="inlineStr">
        <is>
          <t>Not Run</t>
        </is>
      </c>
      <c r="K56" s="3" t="inlineStr">
        <is>
          <t>Not captured — attach screenshot path or evidence link after execution.</t>
        </is>
      </c>
    </row>
    <row r="57" ht="63" customHeight="1">
      <c r="A57" s="6" t="inlineStr">
        <is>
          <t>FIL-01</t>
        </is>
      </c>
      <c r="B57" s="7" t="inlineStr">
        <is>
          <t>Results table filtering and selection</t>
        </is>
      </c>
      <c r="C57" s="8" t="inlineStr">
        <is>
          <t>TC-056</t>
        </is>
      </c>
      <c r="D57" s="7" t="inlineStr">
        <is>
          <t>P2</t>
        </is>
      </c>
      <c r="E57" s="7" t="inlineStr">
        <is>
          <t>Sort results</t>
        </is>
      </c>
      <c r="F57" s="7" t="inlineStr">
        <is>
          <t>Several keys/statuses available.</t>
        </is>
      </c>
      <c r="G57" s="7" t="inlineStr">
        <is>
          <t>Sort ascending and descending by visible headers.</t>
        </is>
      </c>
      <c r="H57" s="7" t="inlineStr">
        <is>
          <t>Rows sort consistently; API sort parameters reflect selection.</t>
        </is>
      </c>
      <c r="I57" s="7" t="inlineStr">
        <is>
          <t>Not executed — record observed result during execution.</t>
        </is>
      </c>
      <c r="J57" s="5" t="inlineStr">
        <is>
          <t>Not Run</t>
        </is>
      </c>
      <c r="K57" s="7" t="inlineStr">
        <is>
          <t>Not captured — attach screenshot path or evidence link after execution.</t>
        </is>
      </c>
    </row>
    <row r="58" ht="63" customHeight="1">
      <c r="A58" s="2" t="inlineStr">
        <is>
          <t>FIL-01</t>
        </is>
      </c>
      <c r="B58" s="3" t="inlineStr">
        <is>
          <t>Results table filtering and selection</t>
        </is>
      </c>
      <c r="C58" s="4" t="inlineStr">
        <is>
          <t>TC-057</t>
        </is>
      </c>
      <c r="D58" s="3" t="inlineStr">
        <is>
          <t>P1</t>
        </is>
      </c>
      <c r="E58" s="3" t="inlineStr">
        <is>
          <t>Select rows and export</t>
        </is>
      </c>
      <c r="F58" s="3" t="inlineStr">
        <is>
          <t>At least two exceptions.</t>
        </is>
      </c>
      <c r="G58" s="3" t="inlineStr">
        <is>
          <t>Select one row and export selected.</t>
        </is>
      </c>
      <c r="H58" s="3" t="inlineStr">
        <is>
          <t>Downloaded XLSX includes only selected exception(s).</t>
        </is>
      </c>
      <c r="I58" s="3" t="inlineStr">
        <is>
          <t>Not executed — record observed result during execution.</t>
        </is>
      </c>
      <c r="J58" s="5" t="inlineStr">
        <is>
          <t>Not Run</t>
        </is>
      </c>
      <c r="K58" s="3" t="inlineStr">
        <is>
          <t>Not captured — attach screenshot path or evidence link after execution.</t>
        </is>
      </c>
    </row>
    <row r="59" ht="63" customHeight="1">
      <c r="A59" s="6" t="inlineStr">
        <is>
          <t>FIL-01</t>
        </is>
      </c>
      <c r="B59" s="7" t="inlineStr">
        <is>
          <t>Results table filtering and selection</t>
        </is>
      </c>
      <c r="C59" s="8" t="inlineStr">
        <is>
          <t>TC-058</t>
        </is>
      </c>
      <c r="D59" s="7" t="inlineStr">
        <is>
          <t>P2</t>
        </is>
      </c>
      <c r="E59" s="7" t="inlineStr">
        <is>
          <t>No selection export state</t>
        </is>
      </c>
      <c r="F59" s="7" t="inlineStr">
        <is>
          <t>No rows selected.</t>
        </is>
      </c>
      <c r="G59" s="7" t="inlineStr">
        <is>
          <t>Inspect Export selected control.</t>
        </is>
      </c>
      <c r="H59" s="7" t="inlineStr">
        <is>
          <t>Control is disabled; no empty export request.</t>
        </is>
      </c>
      <c r="I59" s="7" t="inlineStr">
        <is>
          <t>Not executed — record observed result during execution.</t>
        </is>
      </c>
      <c r="J59" s="5" t="inlineStr">
        <is>
          <t>Not Run</t>
        </is>
      </c>
      <c r="K59" s="7" t="inlineStr">
        <is>
          <t>Not captured — attach screenshot path or evidence link after execution.</t>
        </is>
      </c>
    </row>
    <row r="60" ht="63" customHeight="1">
      <c r="A60" s="2" t="inlineStr">
        <is>
          <t>FIL-01</t>
        </is>
      </c>
      <c r="B60" s="3" t="inlineStr">
        <is>
          <t>Results table filtering and selection</t>
        </is>
      </c>
      <c r="C60" s="4" t="inlineStr">
        <is>
          <t>TC-059</t>
        </is>
      </c>
      <c r="D60" s="3" t="inlineStr">
        <is>
          <t>P2</t>
        </is>
      </c>
      <c r="E60" s="3" t="inlineStr">
        <is>
          <t>Zero-result filter</t>
        </is>
      </c>
      <c r="F60" s="3" t="inlineStr">
        <is>
          <t>Comparison has exceptions.</t>
        </is>
      </c>
      <c r="G60" s="3" t="inlineStr">
        <is>
          <t>Search for a value not present.</t>
        </is>
      </c>
      <c r="H60" s="3" t="inlineStr">
        <is>
          <t>Empty state shown; no stale rows remain.</t>
        </is>
      </c>
      <c r="I60" s="3" t="inlineStr">
        <is>
          <t>Not executed — record observed result during execution.</t>
        </is>
      </c>
      <c r="J60" s="5" t="inlineStr">
        <is>
          <t>Not Run</t>
        </is>
      </c>
      <c r="K60" s="3" t="inlineStr">
        <is>
          <t>Not captured — attach screenshot path or evidence link after execution.</t>
        </is>
      </c>
    </row>
    <row r="61" ht="63" customHeight="1">
      <c r="A61" s="6" t="inlineStr">
        <is>
          <t>ANA-01</t>
        </is>
      </c>
      <c r="B61" s="7" t="inlineStr">
        <is>
          <t>KPI and visual analytics</t>
        </is>
      </c>
      <c r="C61" s="8" t="inlineStr">
        <is>
          <t>TC-060</t>
        </is>
      </c>
      <c r="D61" s="7" t="inlineStr">
        <is>
          <t>P1</t>
        </is>
      </c>
      <c r="E61" s="7" t="inlineStr">
        <is>
          <t>Verify six KPI metrics</t>
        </is>
      </c>
      <c r="F61" s="7" t="inlineStr">
        <is>
          <t>Run with matches, mismatches, and missing records.</t>
        </is>
      </c>
      <c r="G61" s="7" t="inlineStr">
        <is>
          <t>Inspect result overview.</t>
        </is>
      </c>
      <c r="H61" s="7" t="inlineStr">
        <is>
          <t>Six KPI values equal API summary.</t>
        </is>
      </c>
      <c r="I61" s="7" t="inlineStr">
        <is>
          <t>Not executed — record observed result during execution.</t>
        </is>
      </c>
      <c r="J61" s="5" t="inlineStr">
        <is>
          <t>Not Run</t>
        </is>
      </c>
      <c r="K61" s="7" t="inlineStr">
        <is>
          <t>Not captured — attach screenshot path or evidence link after execution.</t>
        </is>
      </c>
    </row>
    <row r="62" ht="63" customHeight="1">
      <c r="A62" s="2" t="inlineStr">
        <is>
          <t>ANA-01</t>
        </is>
      </c>
      <c r="B62" s="3" t="inlineStr">
        <is>
          <t>KPI and visual analytics</t>
        </is>
      </c>
      <c r="C62" s="4" t="inlineStr">
        <is>
          <t>TC-061</t>
        </is>
      </c>
      <c r="D62" s="3" t="inlineStr">
        <is>
          <t>P1</t>
        </is>
      </c>
      <c r="E62" s="3" t="inlineStr">
        <is>
          <t>Verify match distribution chart</t>
        </is>
      </c>
      <c r="F62" s="3" t="inlineStr">
        <is>
          <t>Known matched/mismatched counts.</t>
        </is>
      </c>
      <c r="G62" s="3" t="inlineStr">
        <is>
          <t>Inspect pie chart and legend.</t>
        </is>
      </c>
      <c r="H62" s="3" t="inlineStr">
        <is>
          <t>Record-level counts equal summary.</t>
        </is>
      </c>
      <c r="I62" s="3" t="inlineStr">
        <is>
          <t>Not executed — record observed result during execution.</t>
        </is>
      </c>
      <c r="J62" s="5" t="inlineStr">
        <is>
          <t>Not Run</t>
        </is>
      </c>
      <c r="K62" s="3" t="inlineStr">
        <is>
          <t>Not captured — attach screenshot path or evidence link after execution.</t>
        </is>
      </c>
    </row>
    <row r="63" ht="63" customHeight="1">
      <c r="A63" s="6" t="inlineStr">
        <is>
          <t>ANA-01</t>
        </is>
      </c>
      <c r="B63" s="7" t="inlineStr">
        <is>
          <t>KPI and visual analytics</t>
        </is>
      </c>
      <c r="C63" s="8" t="inlineStr">
        <is>
          <t>TC-062</t>
        </is>
      </c>
      <c r="D63" s="7" t="inlineStr">
        <is>
          <t>P1</t>
        </is>
      </c>
      <c r="E63" s="7" t="inlineStr">
        <is>
          <t>Verify column difference chart</t>
        </is>
      </c>
      <c r="F63" s="7" t="inlineStr">
        <is>
          <t>Mismatches in two columns.</t>
        </is>
      </c>
      <c r="G63" s="7" t="inlineStr">
        <is>
          <t>Inspect bar chart.</t>
        </is>
      </c>
      <c r="H63" s="7" t="inlineStr">
        <is>
          <t>Bar counts reflect mismatch cells per column.</t>
        </is>
      </c>
      <c r="I63" s="7" t="inlineStr">
        <is>
          <t>Not executed — record observed result during execution.</t>
        </is>
      </c>
      <c r="J63" s="5" t="inlineStr">
        <is>
          <t>Not Run</t>
        </is>
      </c>
      <c r="K63" s="7" t="inlineStr">
        <is>
          <t>Not captured — attach screenshot path or evidence link after execution.</t>
        </is>
      </c>
    </row>
    <row r="64" ht="63" customHeight="1">
      <c r="A64" s="2" t="inlineStr">
        <is>
          <t>ANA-01</t>
        </is>
      </c>
      <c r="B64" s="3" t="inlineStr">
        <is>
          <t>KPI and visual analytics</t>
        </is>
      </c>
      <c r="C64" s="4" t="inlineStr">
        <is>
          <t>TC-063</t>
        </is>
      </c>
      <c r="D64" s="3" t="inlineStr">
        <is>
          <t>P2</t>
        </is>
      </c>
      <c r="E64" s="3" t="inlineStr">
        <is>
          <t>Verify analytics empty states</t>
        </is>
      </c>
      <c r="F64" s="3" t="inlineStr">
        <is>
          <t>Identical/empty datasets.</t>
        </is>
      </c>
      <c r="G64" s="3" t="inlineStr">
        <is>
          <t>Inspect charts.</t>
        </is>
      </c>
      <c r="H64" s="3" t="inlineStr">
        <is>
          <t>Clear zero-data state; no misleading values or runtime error.</t>
        </is>
      </c>
      <c r="I64" s="3" t="inlineStr">
        <is>
          <t>Not executed — record observed result during execution.</t>
        </is>
      </c>
      <c r="J64" s="5" t="inlineStr">
        <is>
          <t>Not Run</t>
        </is>
      </c>
      <c r="K64" s="3" t="inlineStr">
        <is>
          <t>Not captured — attach screenshot path or evidence link after execution.</t>
        </is>
      </c>
    </row>
    <row r="65" ht="63" customHeight="1">
      <c r="A65" s="6" t="inlineStr">
        <is>
          <t>EXP-01</t>
        </is>
      </c>
      <c r="B65" s="7" t="inlineStr">
        <is>
          <t>Report downloads and metadata</t>
        </is>
      </c>
      <c r="C65" s="8" t="inlineStr">
        <is>
          <t>TC-064</t>
        </is>
      </c>
      <c r="D65" s="7" t="inlineStr">
        <is>
          <t>P1</t>
        </is>
      </c>
      <c r="E65" s="7" t="inlineStr">
        <is>
          <t>Download Excel report</t>
        </is>
      </c>
      <c r="F65" s="7" t="inlineStr">
        <is>
          <t>Comparison completed.</t>
        </is>
      </c>
      <c r="G65" s="7" t="inlineStr">
        <is>
          <t>Choose XLSX.</t>
        </is>
      </c>
      <c r="H65" s="7" t="inlineStr">
        <is>
          <t>Valid workbook downloads with Summary, Differences and Metadata sheets.</t>
        </is>
      </c>
      <c r="I65" s="7" t="inlineStr">
        <is>
          <t>Not executed — record observed result during execution.</t>
        </is>
      </c>
      <c r="J65" s="5" t="inlineStr">
        <is>
          <t>Not Run</t>
        </is>
      </c>
      <c r="K65" s="7" t="inlineStr">
        <is>
          <t>Not captured — attach screenshot path or evidence link after execution.</t>
        </is>
      </c>
    </row>
    <row r="66" ht="63" customHeight="1">
      <c r="A66" s="2" t="inlineStr">
        <is>
          <t>EXP-01</t>
        </is>
      </c>
      <c r="B66" s="3" t="inlineStr">
        <is>
          <t>Report downloads and metadata</t>
        </is>
      </c>
      <c r="C66" s="4" t="inlineStr">
        <is>
          <t>TC-065</t>
        </is>
      </c>
      <c r="D66" s="3" t="inlineStr">
        <is>
          <t>P1</t>
        </is>
      </c>
      <c r="E66" s="3" t="inlineStr">
        <is>
          <t>Download CSV report</t>
        </is>
      </c>
      <c r="F66" s="3" t="inlineStr">
        <is>
          <t>Comparison completed.</t>
        </is>
      </c>
      <c r="G66" s="3" t="inlineStr">
        <is>
          <t>Choose CSV.</t>
        </is>
      </c>
      <c r="H66" s="3" t="inlineStr">
        <is>
          <t>UTF-8 CSV includes expected columns and exception rows.</t>
        </is>
      </c>
      <c r="I66" s="3" t="inlineStr">
        <is>
          <t>Not executed — record observed result during execution.</t>
        </is>
      </c>
      <c r="J66" s="5" t="inlineStr">
        <is>
          <t>Not Run</t>
        </is>
      </c>
      <c r="K66" s="3" t="inlineStr">
        <is>
          <t>Not captured — attach screenshot path or evidence link after execution.</t>
        </is>
      </c>
    </row>
    <row r="67" ht="63" customHeight="1">
      <c r="A67" s="6" t="inlineStr">
        <is>
          <t>EXP-01</t>
        </is>
      </c>
      <c r="B67" s="7" t="inlineStr">
        <is>
          <t>Report downloads and metadata</t>
        </is>
      </c>
      <c r="C67" s="8" t="inlineStr">
        <is>
          <t>TC-066</t>
        </is>
      </c>
      <c r="D67" s="7" t="inlineStr">
        <is>
          <t>P1</t>
        </is>
      </c>
      <c r="E67" s="7" t="inlineStr">
        <is>
          <t>Download JSON report</t>
        </is>
      </c>
      <c r="F67" s="7" t="inlineStr">
        <is>
          <t>Comparison completed.</t>
        </is>
      </c>
      <c r="G67" s="7" t="inlineStr">
        <is>
          <t>Choose JSON.</t>
        </is>
      </c>
      <c r="H67" s="7" t="inlineStr">
        <is>
          <t>Valid JSON contains metadata, summary and results.</t>
        </is>
      </c>
      <c r="I67" s="7" t="inlineStr">
        <is>
          <t>Not executed — record observed result during execution.</t>
        </is>
      </c>
      <c r="J67" s="5" t="inlineStr">
        <is>
          <t>Not Run</t>
        </is>
      </c>
      <c r="K67" s="7" t="inlineStr">
        <is>
          <t>Not captured — attach screenshot path or evidence link after execution.</t>
        </is>
      </c>
    </row>
    <row r="68" ht="63" customHeight="1">
      <c r="A68" s="2" t="inlineStr">
        <is>
          <t>EXP-01</t>
        </is>
      </c>
      <c r="B68" s="3" t="inlineStr">
        <is>
          <t>Report downloads and metadata</t>
        </is>
      </c>
      <c r="C68" s="4" t="inlineStr">
        <is>
          <t>TC-067</t>
        </is>
      </c>
      <c r="D68" s="3" t="inlineStr">
        <is>
          <t>P1</t>
        </is>
      </c>
      <c r="E68" s="3" t="inlineStr">
        <is>
          <t>Download PDF report</t>
        </is>
      </c>
      <c r="F68" s="3" t="inlineStr">
        <is>
          <t>Comparison completed.</t>
        </is>
      </c>
      <c r="G68" s="3" t="inlineStr">
        <is>
          <t>Choose PDF.</t>
        </is>
      </c>
      <c r="H68" s="3" t="inlineStr">
        <is>
          <t>Valid PDF includes run metadata, summary and exceptions.</t>
        </is>
      </c>
      <c r="I68" s="3" t="inlineStr">
        <is>
          <t>Not executed — record observed result during execution.</t>
        </is>
      </c>
      <c r="J68" s="5" t="inlineStr">
        <is>
          <t>Not Run</t>
        </is>
      </c>
      <c r="K68" s="3" t="inlineStr">
        <is>
          <t>Not captured — attach screenshot path or evidence link after execution.</t>
        </is>
      </c>
    </row>
    <row r="69" ht="63" customHeight="1">
      <c r="A69" s="6" t="inlineStr">
        <is>
          <t>EXP-01</t>
        </is>
      </c>
      <c r="B69" s="7" t="inlineStr">
        <is>
          <t>Report downloads and metadata</t>
        </is>
      </c>
      <c r="C69" s="8" t="inlineStr">
        <is>
          <t>TC-068</t>
        </is>
      </c>
      <c r="D69" s="7" t="inlineStr">
        <is>
          <t>P1</t>
        </is>
      </c>
      <c r="E69" s="7" t="inlineStr">
        <is>
          <t>Verify report metadata</t>
        </is>
      </c>
      <c r="F69" s="7" t="inlineStr">
        <is>
          <t>Comparison completed.</t>
        </is>
      </c>
      <c r="G69" s="7" t="inlineStr">
        <is>
          <t>Compare UI and exports.</t>
        </is>
      </c>
      <c r="H69" s="7" t="inlineStr">
        <is>
          <t>Timestamp, file names, record count, primary keys and duration agree.</t>
        </is>
      </c>
      <c r="I69" s="7" t="inlineStr">
        <is>
          <t>Not executed — record observed result during execution.</t>
        </is>
      </c>
      <c r="J69" s="5" t="inlineStr">
        <is>
          <t>Not Run</t>
        </is>
      </c>
      <c r="K69" s="7" t="inlineStr">
        <is>
          <t>Not captured — attach screenshot path or evidence link after execution.</t>
        </is>
      </c>
    </row>
    <row r="70" ht="63" customHeight="1">
      <c r="A70" s="2" t="inlineStr">
        <is>
          <t>EXP-01</t>
        </is>
      </c>
      <c r="B70" s="3" t="inlineStr">
        <is>
          <t>Report downloads and metadata</t>
        </is>
      </c>
      <c r="C70" s="4" t="inlineStr">
        <is>
          <t>TC-069</t>
        </is>
      </c>
      <c r="D70" s="3" t="inlineStr">
        <is>
          <t>P1</t>
        </is>
      </c>
      <c r="E70" s="3" t="inlineStr">
        <is>
          <t>Export before comparison</t>
        </is>
      </c>
      <c r="F70" s="3" t="inlineStr">
        <is>
          <t>No run exists.</t>
        </is>
      </c>
      <c r="G70" s="3" t="inlineStr">
        <is>
          <t>Inspect export controls/API behavior.</t>
        </is>
      </c>
      <c r="H70" s="3" t="inlineStr">
        <is>
          <t>Export is unavailable or API returns 404; no false success.</t>
        </is>
      </c>
      <c r="I70" s="3" t="inlineStr">
        <is>
          <t>Not executed — record observed result during execution.</t>
        </is>
      </c>
      <c r="J70" s="5" t="inlineStr">
        <is>
          <t>Not Run</t>
        </is>
      </c>
      <c r="K70" s="3" t="inlineStr">
        <is>
          <t>Not captured — attach screenshot path or evidence link after execution.</t>
        </is>
      </c>
    </row>
    <row r="71" ht="63" customHeight="1">
      <c r="A71" s="6" t="inlineStr">
        <is>
          <t>EXP-01</t>
        </is>
      </c>
      <c r="B71" s="7" t="inlineStr">
        <is>
          <t>Report downloads and metadata</t>
        </is>
      </c>
      <c r="C71" s="8" t="inlineStr">
        <is>
          <t>TC-070</t>
        </is>
      </c>
      <c r="D71" s="7" t="inlineStr">
        <is>
          <t>P2</t>
        </is>
      </c>
      <c r="E71" s="7" t="inlineStr">
        <is>
          <t>Download zero-difference reports</t>
        </is>
      </c>
      <c r="F71" s="7" t="inlineStr">
        <is>
          <t>Run identical files.</t>
        </is>
      </c>
      <c r="G71" s="7" t="inlineStr">
        <is>
          <t>Download all four formats.</t>
        </is>
      </c>
      <c r="H71" s="7" t="inlineStr">
        <is>
          <t>All files are valid and report zero exceptions.</t>
        </is>
      </c>
      <c r="I71" s="7" t="inlineStr">
        <is>
          <t>Not executed — record observed result during execution.</t>
        </is>
      </c>
      <c r="J71" s="5" t="inlineStr">
        <is>
          <t>Not Run</t>
        </is>
      </c>
      <c r="K71" s="7" t="inlineStr">
        <is>
          <t>Not captured — attach screenshot path or evidence link after execution.</t>
        </is>
      </c>
    </row>
    <row r="72" ht="63" customHeight="1">
      <c r="A72" s="2" t="inlineStr">
        <is>
          <t>EXP-01</t>
        </is>
      </c>
      <c r="B72" s="3" t="inlineStr">
        <is>
          <t>Report downloads and metadata</t>
        </is>
      </c>
      <c r="C72" s="4" t="inlineStr">
        <is>
          <t>TC-071</t>
        </is>
      </c>
      <c r="D72" s="3" t="inlineStr">
        <is>
          <t>P1</t>
        </is>
      </c>
      <c r="E72" s="3" t="inlineStr">
        <is>
          <t>Reject unsupported report format</t>
        </is>
      </c>
      <c r="F72" s="3" t="inlineStr">
        <is>
          <t>Valid comparison ID.</t>
        </is>
      </c>
      <c r="G72" s="3" t="inlineStr">
        <is>
          <t>GET /report/docx.</t>
        </is>
      </c>
      <c r="H72" s="3" t="inlineStr">
        <is>
          <t>HTTP 400 explains supported formats.</t>
        </is>
      </c>
      <c r="I72" s="3" t="inlineStr">
        <is>
          <t>Not executed — record observed result during execution.</t>
        </is>
      </c>
      <c r="J72" s="5" t="inlineStr">
        <is>
          <t>Not Run</t>
        </is>
      </c>
      <c r="K72" s="3" t="inlineStr">
        <is>
          <t>Not captured — attach screenshot path or evidence link after execution.</t>
        </is>
      </c>
    </row>
    <row r="73" ht="63" customHeight="1">
      <c r="A73" s="6" t="inlineStr">
        <is>
          <t>EXP-01</t>
        </is>
      </c>
      <c r="B73" s="7" t="inlineStr">
        <is>
          <t>Report downloads and metadata</t>
        </is>
      </c>
      <c r="C73" s="8" t="inlineStr">
        <is>
          <t>TC-072</t>
        </is>
      </c>
      <c r="D73" s="7" t="inlineStr">
        <is>
          <t>P1</t>
        </is>
      </c>
      <c r="E73" s="7" t="inlineStr">
        <is>
          <t>Reject invalid selected indexes</t>
        </is>
      </c>
      <c r="F73" s="7" t="inlineStr">
        <is>
          <t>Valid comparison ID.</t>
        </is>
      </c>
      <c r="G73" s="7" t="inlineStr">
        <is>
          <t>Request selected negative/out-of-range row index.</t>
        </is>
      </c>
      <c r="H73" s="7" t="inlineStr">
        <is>
          <t>HTTP 400; invalid partial report is not returned.</t>
        </is>
      </c>
      <c r="I73" s="7" t="inlineStr">
        <is>
          <t>Not executed — record observed result during execution.</t>
        </is>
      </c>
      <c r="J73" s="5" t="inlineStr">
        <is>
          <t>Not Run</t>
        </is>
      </c>
      <c r="K73" s="7" t="inlineStr">
        <is>
          <t>Not captured — attach screenshot path or evidence link after execution.</t>
        </is>
      </c>
    </row>
    <row r="74" ht="63" customHeight="1">
      <c r="A74" s="2" t="inlineStr">
        <is>
          <t>API-01</t>
        </is>
      </c>
      <c r="B74" s="3" t="inlineStr">
        <is>
          <t>REST API contract and pagination</t>
        </is>
      </c>
      <c r="C74" s="4" t="inlineStr">
        <is>
          <t>TC-073</t>
        </is>
      </c>
      <c r="D74" s="3" t="inlineStr">
        <is>
          <t>P1</t>
        </is>
      </c>
      <c r="E74" s="3" t="inlineStr">
        <is>
          <t>Preview requires file</t>
        </is>
      </c>
      <c r="F74" s="3" t="inlineStr">
        <is>
          <t>API running.</t>
        </is>
      </c>
      <c r="G74" s="3" t="inlineStr">
        <is>
          <t>POST /api/preview without multipart file.</t>
        </is>
      </c>
      <c r="H74" s="3" t="inlineStr">
        <is>
          <t>Client error with validation detail; server remains healthy.</t>
        </is>
      </c>
      <c r="I74" s="3" t="inlineStr">
        <is>
          <t>Not executed — record observed result during execution.</t>
        </is>
      </c>
      <c r="J74" s="5" t="inlineStr">
        <is>
          <t>Not Run</t>
        </is>
      </c>
      <c r="K74" s="3" t="inlineStr">
        <is>
          <t>Not captured — attach screenshot path or evidence link after execution.</t>
        </is>
      </c>
    </row>
    <row r="75" ht="63" customHeight="1">
      <c r="A75" s="6" t="inlineStr">
        <is>
          <t>API-01</t>
        </is>
      </c>
      <c r="B75" s="7" t="inlineStr">
        <is>
          <t>REST API contract and pagination</t>
        </is>
      </c>
      <c r="C75" s="8" t="inlineStr">
        <is>
          <t>TC-074</t>
        </is>
      </c>
      <c r="D75" s="7" t="inlineStr">
        <is>
          <t>P1</t>
        </is>
      </c>
      <c r="E75" s="7" t="inlineStr">
        <is>
          <t>Preview response schema</t>
        </is>
      </c>
      <c r="F75" s="7" t="inlineStr">
        <is>
          <t>Valid supported file.</t>
        </is>
      </c>
      <c r="G75" s="7" t="inlineStr">
        <is>
          <t>POST /api/preview with file.</t>
        </is>
      </c>
      <c r="H75" s="7" t="inlineStr">
        <is>
          <t>Response includes filename, size, count, columns, last_modified and up to ten rows.</t>
        </is>
      </c>
      <c r="I75" s="7" t="inlineStr">
        <is>
          <t>Not executed — record observed result during execution.</t>
        </is>
      </c>
      <c r="J75" s="5" t="inlineStr">
        <is>
          <t>Not Run</t>
        </is>
      </c>
      <c r="K75" s="7" t="inlineStr">
        <is>
          <t>Not captured — attach screenshot path or evidence link after execution.</t>
        </is>
      </c>
    </row>
    <row r="76" ht="63" customHeight="1">
      <c r="A76" s="2" t="inlineStr">
        <is>
          <t>API-01</t>
        </is>
      </c>
      <c r="B76" s="3" t="inlineStr">
        <is>
          <t>REST API contract and pagination</t>
        </is>
      </c>
      <c r="C76" s="4" t="inlineStr">
        <is>
          <t>TC-075</t>
        </is>
      </c>
      <c r="D76" s="3" t="inlineStr">
        <is>
          <t>P1</t>
        </is>
      </c>
      <c r="E76" s="3" t="inlineStr">
        <is>
          <t>Compare response schema</t>
        </is>
      </c>
      <c r="F76" s="3" t="inlineStr">
        <is>
          <t>Valid source and target.</t>
        </is>
      </c>
      <c r="G76" s="3" t="inlineStr">
        <is>
          <t>POST /api/compare.</t>
        </is>
      </c>
      <c r="H76" s="3" t="inlineStr">
        <is>
          <t>Response includes summary, metadata, columns, first results, result_count and column differences.</t>
        </is>
      </c>
      <c r="I76" s="3" t="inlineStr">
        <is>
          <t>Not executed — record observed result during execution.</t>
        </is>
      </c>
      <c r="J76" s="5" t="inlineStr">
        <is>
          <t>Not Run</t>
        </is>
      </c>
      <c r="K76" s="3" t="inlineStr">
        <is>
          <t>Not captured — attach screenshot path or evidence link after execution.</t>
        </is>
      </c>
    </row>
    <row r="77" ht="63" customHeight="1">
      <c r="A77" s="6" t="inlineStr">
        <is>
          <t>API-01</t>
        </is>
      </c>
      <c r="B77" s="7" t="inlineStr">
        <is>
          <t>REST API contract and pagination</t>
        </is>
      </c>
      <c r="C77" s="8" t="inlineStr">
        <is>
          <t>TC-076</t>
        </is>
      </c>
      <c r="D77" s="7" t="inlineStr">
        <is>
          <t>P1</t>
        </is>
      </c>
      <c r="E77" s="7" t="inlineStr">
        <is>
          <t>Results default page</t>
        </is>
      </c>
      <c r="F77" s="7" t="inlineStr">
        <is>
          <t>Valid comparison ID.</t>
        </is>
      </c>
      <c r="G77" s="7" t="inlineStr">
        <is>
          <t>GET results without query parameters.</t>
        </is>
      </c>
      <c r="H77" s="7" t="inlineStr">
        <is>
          <t>Returns total, offset, limit and page; default limit 50.</t>
        </is>
      </c>
      <c r="I77" s="7" t="inlineStr">
        <is>
          <t>Not executed — record observed result during execution.</t>
        </is>
      </c>
      <c r="J77" s="5" t="inlineStr">
        <is>
          <t>Not Run</t>
        </is>
      </c>
      <c r="K77" s="7" t="inlineStr">
        <is>
          <t>Not captured — attach screenshot path or evidence link after execution.</t>
        </is>
      </c>
    </row>
    <row r="78" ht="63" customHeight="1">
      <c r="A78" s="2" t="inlineStr">
        <is>
          <t>API-01</t>
        </is>
      </c>
      <c r="B78" s="3" t="inlineStr">
        <is>
          <t>REST API contract and pagination</t>
        </is>
      </c>
      <c r="C78" s="4" t="inlineStr">
        <is>
          <t>TC-077</t>
        </is>
      </c>
      <c r="D78" s="3" t="inlineStr">
        <is>
          <t>P1</t>
        </is>
      </c>
      <c r="E78" s="3" t="inlineStr">
        <is>
          <t>Clamp results page limit</t>
        </is>
      </c>
      <c r="F78" s="3" t="inlineStr">
        <is>
          <t>Valid comparison ID.</t>
        </is>
      </c>
      <c r="G78" s="3" t="inlineStr">
        <is>
          <t>Request limit=10000 and limit=0.</t>
        </is>
      </c>
      <c r="H78" s="3" t="inlineStr">
        <is>
          <t>Limit is clamped to range 1 through 500.</t>
        </is>
      </c>
      <c r="I78" s="3" t="inlineStr">
        <is>
          <t>Not executed — record observed result during execution.</t>
        </is>
      </c>
      <c r="J78" s="5" t="inlineStr">
        <is>
          <t>Not Run</t>
        </is>
      </c>
      <c r="K78" s="3" t="inlineStr">
        <is>
          <t>Not captured — attach screenshot path or evidence link after execution.</t>
        </is>
      </c>
    </row>
    <row r="79" ht="63" customHeight="1">
      <c r="A79" s="6" t="inlineStr">
        <is>
          <t>API-01</t>
        </is>
      </c>
      <c r="B79" s="7" t="inlineStr">
        <is>
          <t>REST API contract and pagination</t>
        </is>
      </c>
      <c r="C79" s="8" t="inlineStr">
        <is>
          <t>TC-078</t>
        </is>
      </c>
      <c r="D79" s="7" t="inlineStr">
        <is>
          <t>P1</t>
        </is>
      </c>
      <c r="E79" s="7" t="inlineStr">
        <is>
          <t>Paginate source preview</t>
        </is>
      </c>
      <c r="F79" s="7" t="inlineStr">
        <is>
          <t>Valid comparison ID.</t>
        </is>
      </c>
      <c r="G79" s="7" t="inlineStr">
        <is>
          <t>GET preview/source with offset and limit.</t>
        </is>
      </c>
      <c r="H79" s="7" t="inlineStr">
        <is>
          <t>Returns total, columns and requested page.</t>
        </is>
      </c>
      <c r="I79" s="7" t="inlineStr">
        <is>
          <t>Not executed — record observed result during execution.</t>
        </is>
      </c>
      <c r="J79" s="5" t="inlineStr">
        <is>
          <t>Not Run</t>
        </is>
      </c>
      <c r="K79" s="7" t="inlineStr">
        <is>
          <t>Not captured — attach screenshot path or evidence link after execution.</t>
        </is>
      </c>
    </row>
    <row r="80" ht="63" customHeight="1">
      <c r="A80" s="2" t="inlineStr">
        <is>
          <t>API-01</t>
        </is>
      </c>
      <c r="B80" s="3" t="inlineStr">
        <is>
          <t>REST API contract and pagination</t>
        </is>
      </c>
      <c r="C80" s="4" t="inlineStr">
        <is>
          <t>TC-079</t>
        </is>
      </c>
      <c r="D80" s="3" t="inlineStr">
        <is>
          <t>P1</t>
        </is>
      </c>
      <c r="E80" s="3" t="inlineStr">
        <is>
          <t>Reject invalid preview side</t>
        </is>
      </c>
      <c r="F80" s="3" t="inlineStr">
        <is>
          <t>Valid comparison ID.</t>
        </is>
      </c>
      <c r="G80" s="3" t="inlineStr">
        <is>
          <t>GET preview/other.</t>
        </is>
      </c>
      <c r="H80" s="3" t="inlineStr">
        <is>
          <t>HTTP 400 with valid side guidance.</t>
        </is>
      </c>
      <c r="I80" s="3" t="inlineStr">
        <is>
          <t>Not executed — record observed result during execution.</t>
        </is>
      </c>
      <c r="J80" s="5" t="inlineStr">
        <is>
          <t>Not Run</t>
        </is>
      </c>
      <c r="K80" s="3" t="inlineStr">
        <is>
          <t>Not captured — attach screenshot path or evidence link after execution.</t>
        </is>
      </c>
    </row>
    <row r="81" ht="63" customHeight="1">
      <c r="A81" s="6" t="inlineStr">
        <is>
          <t>API-01</t>
        </is>
      </c>
      <c r="B81" s="7" t="inlineStr">
        <is>
          <t>REST API contract and pagination</t>
        </is>
      </c>
      <c r="C81" s="8" t="inlineStr">
        <is>
          <t>TC-080</t>
        </is>
      </c>
      <c r="D81" s="7" t="inlineStr">
        <is>
          <t>P1</t>
        </is>
      </c>
      <c r="E81" s="7" t="inlineStr">
        <is>
          <t>Reject expired/unknown run</t>
        </is>
      </c>
      <c r="F81" s="7" t="inlineStr">
        <is>
          <t>Random or expired ID.</t>
        </is>
      </c>
      <c r="G81" s="7" t="inlineStr">
        <is>
          <t>Request results, preview, metadata and report.</t>
        </is>
      </c>
      <c r="H81" s="7" t="inlineStr">
        <is>
          <t>HTTP 404 for unavailable comparison.</t>
        </is>
      </c>
      <c r="I81" s="7" t="inlineStr">
        <is>
          <t>Not executed — record observed result during execution.</t>
        </is>
      </c>
      <c r="J81" s="5" t="inlineStr">
        <is>
          <t>Not Run</t>
        </is>
      </c>
      <c r="K81" s="7" t="inlineStr">
        <is>
          <t>Not captured — attach screenshot path or evidence link after execution.</t>
        </is>
      </c>
    </row>
    <row r="82" ht="63" customHeight="1">
      <c r="A82" s="2" t="inlineStr">
        <is>
          <t>API-01</t>
        </is>
      </c>
      <c r="B82" s="3" t="inlineStr">
        <is>
          <t>REST API contract and pagination</t>
        </is>
      </c>
      <c r="C82" s="4" t="inlineStr">
        <is>
          <t>TC-081</t>
        </is>
      </c>
      <c r="D82" s="3" t="inlineStr">
        <is>
          <t>P2</t>
        </is>
      </c>
      <c r="E82" s="3" t="inlineStr">
        <is>
          <t>Check metadata endpoint</t>
        </is>
      </c>
      <c r="F82" s="3" t="inlineStr">
        <is>
          <t>Comparison completed.</t>
        </is>
      </c>
      <c r="G82" s="3" t="inlineStr">
        <is>
          <t>GET /metadata.</t>
        </is>
      </c>
      <c r="H82" s="3" t="inlineStr">
        <is>
          <t>Metadata and summary agree with compare response.</t>
        </is>
      </c>
      <c r="I82" s="3" t="inlineStr">
        <is>
          <t>Not executed — record observed result during execution.</t>
        </is>
      </c>
      <c r="J82" s="5" t="inlineStr">
        <is>
          <t>Not Run</t>
        </is>
      </c>
      <c r="K82" s="3" t="inlineStr">
        <is>
          <t>Not captured — attach screenshot path or evidence link after execution.</t>
        </is>
      </c>
    </row>
    <row r="83" ht="63" customHeight="1">
      <c r="A83" s="6" t="inlineStr">
        <is>
          <t>API-01</t>
        </is>
      </c>
      <c r="B83" s="7" t="inlineStr">
        <is>
          <t>REST API contract and pagination</t>
        </is>
      </c>
      <c r="C83" s="8" t="inlineStr">
        <is>
          <t>TC-082</t>
        </is>
      </c>
      <c r="D83" s="7" t="inlineStr">
        <is>
          <t>P2</t>
        </is>
      </c>
      <c r="E83" s="7" t="inlineStr">
        <is>
          <t>Verify in-memory cap and TTL</t>
        </is>
      </c>
      <c r="F83" s="7" t="inlineStr">
        <is>
          <t>Create four runs or control time in test environment.</t>
        </is>
      </c>
      <c r="G83" s="7" t="inlineStr">
        <is>
          <t>Request evicted or expired run.</t>
        </is>
      </c>
      <c r="H83" s="7" t="inlineStr">
        <is>
          <t>Only three active runs retained; after 30 minutes run returns 404.</t>
        </is>
      </c>
      <c r="I83" s="7" t="inlineStr">
        <is>
          <t>Not executed — record observed result during execution.</t>
        </is>
      </c>
      <c r="J83" s="5" t="inlineStr">
        <is>
          <t>Not Run</t>
        </is>
      </c>
      <c r="K83" s="7" t="inlineStr">
        <is>
          <t>Not captured — attach screenshot path or evidence link after execution.</t>
        </is>
      </c>
    </row>
    <row r="84" ht="63" customHeight="1">
      <c r="A84" s="2" t="inlineStr">
        <is>
          <t>ERR-01</t>
        </is>
      </c>
      <c r="B84" s="3" t="inlineStr">
        <is>
          <t>Negative, resilience and input security</t>
        </is>
      </c>
      <c r="C84" s="4" t="inlineStr">
        <is>
          <t>TC-083</t>
        </is>
      </c>
      <c r="D84" s="3" t="inlineStr">
        <is>
          <t>P1</t>
        </is>
      </c>
      <c r="E84" s="3" t="inlineStr">
        <is>
          <t>Malformed primary_keys JSON</t>
        </is>
      </c>
      <c r="F84" s="3" t="inlineStr">
        <is>
          <t>API running.</t>
        </is>
      </c>
      <c r="G84" s="3" t="inlineStr">
        <is>
          <t>POST compare with invalid JSON primary_keys.</t>
        </is>
      </c>
      <c r="H84" s="3" t="inlineStr">
        <is>
          <t>HTTP 400 validation response, not traceback/500.</t>
        </is>
      </c>
      <c r="I84" s="3" t="inlineStr">
        <is>
          <t>Not executed — record observed result during execution.</t>
        </is>
      </c>
      <c r="J84" s="5" t="inlineStr">
        <is>
          <t>Not Run</t>
        </is>
      </c>
      <c r="K84" s="3" t="inlineStr">
        <is>
          <t>Not captured — attach screenshot path or evidence link after execution.</t>
        </is>
      </c>
    </row>
    <row r="85" ht="63" customHeight="1">
      <c r="A85" s="6" t="inlineStr">
        <is>
          <t>ERR-01</t>
        </is>
      </c>
      <c r="B85" s="7" t="inlineStr">
        <is>
          <t>Negative, resilience and input security</t>
        </is>
      </c>
      <c r="C85" s="8" t="inlineStr">
        <is>
          <t>TC-084</t>
        </is>
      </c>
      <c r="D85" s="7" t="inlineStr">
        <is>
          <t>P1</t>
        </is>
      </c>
      <c r="E85" s="7" t="inlineStr">
        <is>
          <t>Empty or invalid key list</t>
        </is>
      </c>
      <c r="F85" s="7" t="inlineStr">
        <is>
          <t>API running.</t>
        </is>
      </c>
      <c r="G85" s="7" t="inlineStr">
        <is>
          <t>POST with [] or non-list key JSON.</t>
        </is>
      </c>
      <c r="H85" s="7" t="inlineStr">
        <is>
          <t>HTTP 400 explains required key selection.</t>
        </is>
      </c>
      <c r="I85" s="7" t="inlineStr">
        <is>
          <t>Not executed — record observed result during execution.</t>
        </is>
      </c>
      <c r="J85" s="5" t="inlineStr">
        <is>
          <t>Not Run</t>
        </is>
      </c>
      <c r="K85" s="7" t="inlineStr">
        <is>
          <t>Not captured — attach screenshot path or evidence link after execution.</t>
        </is>
      </c>
    </row>
    <row r="86" ht="63" customHeight="1">
      <c r="A86" s="2" t="inlineStr">
        <is>
          <t>ERR-01</t>
        </is>
      </c>
      <c r="B86" s="3" t="inlineStr">
        <is>
          <t>Negative, resilience and input security</t>
        </is>
      </c>
      <c r="C86" s="4" t="inlineStr">
        <is>
          <t>TC-085</t>
        </is>
      </c>
      <c r="D86" s="3" t="inlineStr">
        <is>
          <t>P1</t>
        </is>
      </c>
      <c r="E86" s="3" t="inlineStr">
        <is>
          <t>Malformed CSV parse</t>
        </is>
      </c>
      <c r="F86" s="3" t="inlineStr">
        <is>
          <t>Invalid CSV bytes/content.</t>
        </is>
      </c>
      <c r="G86" s="3" t="inlineStr">
        <is>
          <t>POST preview and compare.</t>
        </is>
      </c>
      <c r="H86" s="3" t="inlineStr">
        <is>
          <t>Controlled 400/422 response; process remains available.</t>
        </is>
      </c>
      <c r="I86" s="3" t="inlineStr">
        <is>
          <t>Not executed — record observed result during execution.</t>
        </is>
      </c>
      <c r="J86" s="5" t="inlineStr">
        <is>
          <t>Not Run</t>
        </is>
      </c>
      <c r="K86" s="3" t="inlineStr">
        <is>
          <t>Not captured — attach screenshot path or evidence link after execution.</t>
        </is>
      </c>
    </row>
    <row r="87" ht="63" customHeight="1">
      <c r="A87" s="6" t="inlineStr">
        <is>
          <t>ERR-01</t>
        </is>
      </c>
      <c r="B87" s="7" t="inlineStr">
        <is>
          <t>Negative, resilience and input security</t>
        </is>
      </c>
      <c r="C87" s="8" t="inlineStr">
        <is>
          <t>TC-086</t>
        </is>
      </c>
      <c r="D87" s="7" t="inlineStr">
        <is>
          <t>P1</t>
        </is>
      </c>
      <c r="E87" s="7" t="inlineStr">
        <is>
          <t>Corrupt Excel parse</t>
        </is>
      </c>
      <c r="F87" s="7" t="inlineStr">
        <is>
          <t>Invalid workbook bytes with .xlsx extension.</t>
        </is>
      </c>
      <c r="G87" s="7" t="inlineStr">
        <is>
          <t>POST preview.</t>
        </is>
      </c>
      <c r="H87" s="7" t="inlineStr">
        <is>
          <t>Controlled 422 response; no internal traceback disclosed.</t>
        </is>
      </c>
      <c r="I87" s="7" t="inlineStr">
        <is>
          <t>Not executed — record observed result during execution.</t>
        </is>
      </c>
      <c r="J87" s="5" t="inlineStr">
        <is>
          <t>Not Run</t>
        </is>
      </c>
      <c r="K87" s="7" t="inlineStr">
        <is>
          <t>Not captured — attach screenshot path or evidence link after execution.</t>
        </is>
      </c>
    </row>
    <row r="88" ht="63" customHeight="1">
      <c r="A88" s="2" t="inlineStr">
        <is>
          <t>ERR-01</t>
        </is>
      </c>
      <c r="B88" s="3" t="inlineStr">
        <is>
          <t>Negative, resilience and input security</t>
        </is>
      </c>
      <c r="C88" s="4" t="inlineStr">
        <is>
          <t>TC-087</t>
        </is>
      </c>
      <c r="D88" s="3" t="inlineStr">
        <is>
          <t>P1</t>
        </is>
      </c>
      <c r="E88" s="3" t="inlineStr">
        <is>
          <t>Missing key column</t>
        </is>
      </c>
      <c r="F88" s="3" t="inlineStr">
        <is>
          <t>Files do not share selected key.</t>
        </is>
      </c>
      <c r="G88" s="3" t="inlineStr">
        <is>
          <t>Compare through UI/API.</t>
        </is>
      </c>
      <c r="H88" s="3" t="inlineStr">
        <is>
          <t>Error identifies which input is missing the key.</t>
        </is>
      </c>
      <c r="I88" s="3" t="inlineStr">
        <is>
          <t>Not executed — record observed result during execution.</t>
        </is>
      </c>
      <c r="J88" s="5" t="inlineStr">
        <is>
          <t>Not Run</t>
        </is>
      </c>
      <c r="K88" s="3" t="inlineStr">
        <is>
          <t>Not captured — attach screenshot path or evidence link after execution.</t>
        </is>
      </c>
    </row>
    <row r="89" ht="63" customHeight="1">
      <c r="A89" s="6" t="inlineStr">
        <is>
          <t>ERR-01</t>
        </is>
      </c>
      <c r="B89" s="7" t="inlineStr">
        <is>
          <t>Negative, resilience and input security</t>
        </is>
      </c>
      <c r="C89" s="8" t="inlineStr">
        <is>
          <t>TC-088</t>
        </is>
      </c>
      <c r="D89" s="7" t="inlineStr">
        <is>
          <t>P1</t>
        </is>
      </c>
      <c r="E89" s="7" t="inlineStr">
        <is>
          <t>API unavailable on preview</t>
        </is>
      </c>
      <c r="F89" s="7" t="inlineStr">
        <is>
          <t>Stop or block API.</t>
        </is>
      </c>
      <c r="G89" s="7" t="inlineStr">
        <is>
          <t>Upload in frontend.</t>
        </is>
      </c>
      <c r="H89" s="7" t="inlineStr">
        <is>
          <t>Error toast appears; file is not falsely marked ready.</t>
        </is>
      </c>
      <c r="I89" s="7" t="inlineStr">
        <is>
          <t>Not executed — record observed result during execution.</t>
        </is>
      </c>
      <c r="J89" s="5" t="inlineStr">
        <is>
          <t>Not Run</t>
        </is>
      </c>
      <c r="K89" s="7" t="inlineStr">
        <is>
          <t>Not captured — attach screenshot path or evidence link after execution.</t>
        </is>
      </c>
    </row>
    <row r="90" ht="63" customHeight="1">
      <c r="A90" s="2" t="inlineStr">
        <is>
          <t>ERR-01</t>
        </is>
      </c>
      <c r="B90" s="3" t="inlineStr">
        <is>
          <t>Negative, resilience and input security</t>
        </is>
      </c>
      <c r="C90" s="4" t="inlineStr">
        <is>
          <t>TC-089</t>
        </is>
      </c>
      <c r="D90" s="3" t="inlineStr">
        <is>
          <t>P1</t>
        </is>
      </c>
      <c r="E90" s="3" t="inlineStr">
        <is>
          <t>API unavailable on compare</t>
        </is>
      </c>
      <c r="F90" s="3" t="inlineStr">
        <is>
          <t>Files previewed; stop API.</t>
        </is>
      </c>
      <c r="G90" s="3" t="inlineStr">
        <is>
          <t>Run comparison.</t>
        </is>
      </c>
      <c r="H90" s="3" t="inlineStr">
        <is>
          <t>Error shown; no new success metrics or false results.</t>
        </is>
      </c>
      <c r="I90" s="3" t="inlineStr">
        <is>
          <t>Not executed — record observed result during execution.</t>
        </is>
      </c>
      <c r="J90" s="5" t="inlineStr">
        <is>
          <t>Not Run</t>
        </is>
      </c>
      <c r="K90" s="3" t="inlineStr">
        <is>
          <t>Not captured — attach screenshot path or evidence link after execution.</t>
        </is>
      </c>
    </row>
    <row r="91" ht="63" customHeight="1">
      <c r="A91" s="6" t="inlineStr">
        <is>
          <t>ERR-01</t>
        </is>
      </c>
      <c r="B91" s="7" t="inlineStr">
        <is>
          <t>Negative, resilience and input security</t>
        </is>
      </c>
      <c r="C91" s="8" t="inlineStr">
        <is>
          <t>TC-090</t>
        </is>
      </c>
      <c r="D91" s="7" t="inlineStr">
        <is>
          <t>P2</t>
        </is>
      </c>
      <c r="E91" s="7" t="inlineStr">
        <is>
          <t>Unsupported report path injection</t>
        </is>
      </c>
      <c r="F91" s="7" t="inlineStr">
        <is>
          <t>Valid run ID.</t>
        </is>
      </c>
      <c r="G91" s="7" t="inlineStr">
        <is>
          <t>Request malformed format/path characters.</t>
        </is>
      </c>
      <c r="H91" s="7" t="inlineStr">
        <is>
          <t>Only allowlisted formats accepted; no path access or unhandled exception.</t>
        </is>
      </c>
      <c r="I91" s="7" t="inlineStr">
        <is>
          <t>Not executed — record observed result during execution.</t>
        </is>
      </c>
      <c r="J91" s="5" t="inlineStr">
        <is>
          <t>Not Run</t>
        </is>
      </c>
      <c r="K91" s="7" t="inlineStr">
        <is>
          <t>Not captured — attach screenshot path or evidence link after execution.</t>
        </is>
      </c>
    </row>
    <row r="92" ht="63" customHeight="1">
      <c r="A92" s="2" t="inlineStr">
        <is>
          <t>ERR-01</t>
        </is>
      </c>
      <c r="B92" s="3" t="inlineStr">
        <is>
          <t>Negative, resilience and input security</t>
        </is>
      </c>
      <c r="C92" s="4" t="inlineStr">
        <is>
          <t>TC-091</t>
        </is>
      </c>
      <c r="D92" s="3" t="inlineStr">
        <is>
          <t>P2</t>
        </is>
      </c>
      <c r="E92" s="3" t="inlineStr">
        <is>
          <t>Search regex metacharacters literally</t>
        </is>
      </c>
      <c r="F92" s="3" t="inlineStr">
        <is>
          <t>Comparison results available.</t>
        </is>
      </c>
      <c r="G92" s="3" t="inlineStr">
        <is>
          <t>Search for .* or [abc.</t>
        </is>
      </c>
      <c r="H92" s="3" t="inlineStr">
        <is>
          <t>Literal search handled safely without regex error.</t>
        </is>
      </c>
      <c r="I92" s="3" t="inlineStr">
        <is>
          <t>Not executed — record observed result during execution.</t>
        </is>
      </c>
      <c r="J92" s="5" t="inlineStr">
        <is>
          <t>Not Run</t>
        </is>
      </c>
      <c r="K92" s="3" t="inlineStr">
        <is>
          <t>Not captured — attach screenshot path or evidence link after execution.</t>
        </is>
      </c>
    </row>
    <row r="93" ht="63" customHeight="1">
      <c r="A93" s="6" t="inlineStr">
        <is>
          <t>PERF-01</t>
        </is>
      </c>
      <c r="B93" s="7" t="inlineStr">
        <is>
          <t>Performance, capacity and reliability</t>
        </is>
      </c>
      <c r="C93" s="8" t="inlineStr">
        <is>
          <t>TC-092</t>
        </is>
      </c>
      <c r="D93" s="7" t="inlineStr">
        <is>
          <t>P1</t>
        </is>
      </c>
      <c r="E93" s="7" t="inlineStr">
        <is>
          <t>Compare 100k matching rows</t>
        </is>
      </c>
      <c r="F93" s="7" t="inlineStr">
        <is>
          <t>Prepare 100,000 unique matching rows; record hardware.</t>
        </is>
      </c>
      <c r="G93" s="7" t="inlineStr">
        <is>
          <t>Compare and record elapsed time, memory, response size.</t>
        </is>
      </c>
      <c r="H93" s="7" t="inlineStr">
        <is>
          <t>Completes without crash/timeout; exact summary; record against agreed SLA.</t>
        </is>
      </c>
      <c r="I93" s="7" t="inlineStr">
        <is>
          <t>Not executed — record observed result during execution.</t>
        </is>
      </c>
      <c r="J93" s="5" t="inlineStr">
        <is>
          <t>Not Run</t>
        </is>
      </c>
      <c r="K93" s="7" t="inlineStr">
        <is>
          <t>Not captured — attach screenshot path or evidence link after execution.</t>
        </is>
      </c>
    </row>
    <row r="94" ht="63" customHeight="1">
      <c r="A94" s="2" t="inlineStr">
        <is>
          <t>PERF-01</t>
        </is>
      </c>
      <c r="B94" s="3" t="inlineStr">
        <is>
          <t>Performance, capacity and reliability</t>
        </is>
      </c>
      <c r="C94" s="4" t="inlineStr">
        <is>
          <t>TC-093</t>
        </is>
      </c>
      <c r="D94" s="3" t="inlineStr">
        <is>
          <t>P1</t>
        </is>
      </c>
      <c r="E94" s="3" t="inlineStr">
        <is>
          <t>Compare 100k sparse differences</t>
        </is>
      </c>
      <c r="F94" s="3" t="inlineStr">
        <is>
          <t>100k rows with known injected mismatches/missing keys.</t>
        </is>
      </c>
      <c r="G94" s="3" t="inlineStr">
        <is>
          <t>Compare and validate summary and result pagination.</t>
        </is>
      </c>
      <c r="H94" s="3" t="inlineStr">
        <is>
          <t>All counts/pages match injected differences; service remains responsive.</t>
        </is>
      </c>
      <c r="I94" s="3" t="inlineStr">
        <is>
          <t>Not executed — record observed result during execution.</t>
        </is>
      </c>
      <c r="J94" s="5" t="inlineStr">
        <is>
          <t>Not Run</t>
        </is>
      </c>
      <c r="K94" s="3" t="inlineStr">
        <is>
          <t>Not captured — attach screenshot path or evidence link after execution.</t>
        </is>
      </c>
    </row>
    <row r="95" ht="63" customHeight="1">
      <c r="A95" s="6" t="inlineStr">
        <is>
          <t>PERF-01</t>
        </is>
      </c>
      <c r="B95" s="7" t="inlineStr">
        <is>
          <t>Performance, capacity and reliability</t>
        </is>
      </c>
      <c r="C95" s="8" t="inlineStr">
        <is>
          <t>TC-094</t>
        </is>
      </c>
      <c r="D95" s="7" t="inlineStr">
        <is>
          <t>P1</t>
        </is>
      </c>
      <c r="E95" s="7" t="inlineStr">
        <is>
          <t>Preview large file within limit</t>
        </is>
      </c>
      <c r="F95" s="7" t="inlineStr">
        <is>
          <t>Large file less than 100 MB.</t>
        </is>
      </c>
      <c r="G95" s="7" t="inlineStr">
        <is>
          <t>Upload to preview and measure time/memory.</t>
        </is>
      </c>
      <c r="H95" s="7" t="inlineStr">
        <is>
          <t>Only ten preview rows returned; full count correct; no timeout or memory breach.</t>
        </is>
      </c>
      <c r="I95" s="7" t="inlineStr">
        <is>
          <t>Not executed — record observed result during execution.</t>
        </is>
      </c>
      <c r="J95" s="5" t="inlineStr">
        <is>
          <t>Not Run</t>
        </is>
      </c>
      <c r="K95" s="7" t="inlineStr">
        <is>
          <t>Not captured — attach screenshot path or evidence link after execution.</t>
        </is>
      </c>
    </row>
    <row r="96" ht="63" customHeight="1">
      <c r="A96" s="2" t="inlineStr">
        <is>
          <t>PERF-01</t>
        </is>
      </c>
      <c r="B96" s="3" t="inlineStr">
        <is>
          <t>Performance, capacity and reliability</t>
        </is>
      </c>
      <c r="C96" s="4" t="inlineStr">
        <is>
          <t>TC-095</t>
        </is>
      </c>
      <c r="D96" s="3" t="inlineStr">
        <is>
          <t>P2</t>
        </is>
      </c>
      <c r="E96" s="3" t="inlineStr">
        <is>
          <t>Evict old runs</t>
        </is>
      </c>
      <c r="F96" s="3" t="inlineStr">
        <is>
          <t>Create more than three comparisons.</t>
        </is>
      </c>
      <c r="G96" s="3" t="inlineStr">
        <is>
          <t>Request oldest and newest IDs.</t>
        </is>
      </c>
      <c r="H96" s="3" t="inlineStr">
        <is>
          <t>Oldest evicted with 404; newest remain available; bounded retention works.</t>
        </is>
      </c>
      <c r="I96" s="3" t="inlineStr">
        <is>
          <t>Not executed — record observed result during execution.</t>
        </is>
      </c>
      <c r="J96" s="5" t="inlineStr">
        <is>
          <t>Not Run</t>
        </is>
      </c>
      <c r="K96" s="3" t="inlineStr">
        <is>
          <t>Not captured — attach screenshot path or evidence link after execution.</t>
        </is>
      </c>
    </row>
    <row r="97" ht="63" customHeight="1">
      <c r="A97" s="6" t="inlineStr">
        <is>
          <t>PERF-01</t>
        </is>
      </c>
      <c r="B97" s="7" t="inlineStr">
        <is>
          <t>Performance, capacity and reliability</t>
        </is>
      </c>
      <c r="C97" s="8" t="inlineStr">
        <is>
          <t>TC-096</t>
        </is>
      </c>
      <c r="D97" s="7" t="inlineStr">
        <is>
          <t>P2</t>
        </is>
      </c>
      <c r="E97" s="7" t="inlineStr">
        <is>
          <t>Concurrent isolated requests</t>
        </is>
      </c>
      <c r="F97" s="7" t="inlineStr">
        <is>
          <t>Prepare distinct input pairs.</t>
        </is>
      </c>
      <c r="G97" s="7" t="inlineStr">
        <is>
          <t>Issue concurrent preview/compare requests.</t>
        </is>
      </c>
      <c r="H97" s="7" t="inlineStr">
        <is>
          <t>Each response corresponds to correct pair; no temp/report cross-contamination or 500.</t>
        </is>
      </c>
      <c r="I97" s="7" t="inlineStr">
        <is>
          <t>Not executed — record observed result during execution.</t>
        </is>
      </c>
      <c r="J97" s="5" t="inlineStr">
        <is>
          <t>Not Run</t>
        </is>
      </c>
      <c r="K97" s="7" t="inlineStr">
        <is>
          <t>Not captured — attach screenshot path or evidence link after execution.</t>
        </is>
      </c>
    </row>
    <row r="98" ht="63" customHeight="1">
      <c r="A98" s="2" t="inlineStr">
        <is>
          <t>PERF-01</t>
        </is>
      </c>
      <c r="B98" s="3" t="inlineStr">
        <is>
          <t>Performance, capacity and reliability</t>
        </is>
      </c>
      <c r="C98" s="4" t="inlineStr">
        <is>
          <t>TC-097</t>
        </is>
      </c>
      <c r="D98" s="3" t="inlineStr">
        <is>
          <t>P2</t>
        </is>
      </c>
      <c r="E98" s="3" t="inlineStr">
        <is>
          <t>Loading and upload progress</t>
        </is>
      </c>
      <c r="F98" s="3" t="inlineStr">
        <is>
          <t>Use a safe large test file.</t>
        </is>
      </c>
      <c r="G98" s="3" t="inlineStr">
        <is>
          <t>Run comparison and observe busy/progress feedback.</t>
        </is>
      </c>
      <c r="H98" s="3" t="inlineStr">
        <is>
          <t>Button indicates busy; upload progress appears where available; success/error is visible.</t>
        </is>
      </c>
      <c r="I98" s="3" t="inlineStr">
        <is>
          <t>Not executed — record observed result during execution.</t>
        </is>
      </c>
      <c r="J98" s="5" t="inlineStr">
        <is>
          <t>Not Run</t>
        </is>
      </c>
      <c r="K98" s="3" t="inlineStr">
        <is>
          <t>Not captured — attach screenshot path or evidence link after execution.</t>
        </is>
      </c>
    </row>
    <row r="99" ht="63" customHeight="1">
      <c r="A99" s="6" t="inlineStr">
        <is>
          <t>A11Y-01</t>
        </is>
      </c>
      <c r="B99" s="7" t="inlineStr">
        <is>
          <t>Accessibility and usability</t>
        </is>
      </c>
      <c r="C99" s="8" t="inlineStr">
        <is>
          <t>TC-098</t>
        </is>
      </c>
      <c r="D99" s="7" t="inlineStr">
        <is>
          <t>P2</t>
        </is>
      </c>
      <c r="E99" s="7" t="inlineStr">
        <is>
          <t>Keyboard operate main flow</t>
        </is>
      </c>
      <c r="F99" s="7" t="inlineStr">
        <is>
          <t>Use keyboard only.</t>
        </is>
      </c>
      <c r="G99" s="7" t="inlineStr">
        <is>
          <t>Navigate upload, key selection, options, compare and results.</t>
        </is>
      </c>
      <c r="H99" s="7" t="inlineStr">
        <is>
          <t>Primary controls are operable with visible focus; no keyboard trap.</t>
        </is>
      </c>
      <c r="I99" s="7" t="inlineStr">
        <is>
          <t>Not executed — record observed result during execution.</t>
        </is>
      </c>
      <c r="J99" s="5" t="inlineStr">
        <is>
          <t>Not Run</t>
        </is>
      </c>
      <c r="K99" s="7" t="inlineStr">
        <is>
          <t>Not captured — attach screenshot path or evidence link after execution.</t>
        </is>
      </c>
    </row>
    <row r="100" ht="63" customHeight="1">
      <c r="A100" s="2" t="inlineStr">
        <is>
          <t>A11Y-01</t>
        </is>
      </c>
      <c r="B100" s="3" t="inlineStr">
        <is>
          <t>Accessibility and usability</t>
        </is>
      </c>
      <c r="C100" s="4" t="inlineStr">
        <is>
          <t>TC-099</t>
        </is>
      </c>
      <c r="D100" s="3" t="inlineStr">
        <is>
          <t>P2</t>
        </is>
      </c>
      <c r="E100" s="3" t="inlineStr">
        <is>
          <t>Inspect accessible names</t>
        </is>
      </c>
      <c r="F100" s="3" t="inlineStr">
        <is>
          <t>Accessibility tree or screen reader available.</t>
        </is>
      </c>
      <c r="G100" s="3" t="inlineStr">
        <is>
          <t>Inspect upload, theme, filters, settings, selection and tables.</t>
        </is>
      </c>
      <c r="H100" s="3" t="inlineStr">
        <is>
          <t>Controls have meaningful names; table headers and statuses are announced.</t>
        </is>
      </c>
      <c r="I100" s="3" t="inlineStr">
        <is>
          <t>Not executed — record observed result during execution.</t>
        </is>
      </c>
      <c r="J100" s="5" t="inlineStr">
        <is>
          <t>Not Run</t>
        </is>
      </c>
      <c r="K100" s="3" t="inlineStr">
        <is>
          <t>Not captured — attach screenshot path or evidence link after execution.</t>
        </is>
      </c>
    </row>
    <row r="101" ht="63" customHeight="1">
      <c r="A101" s="6" t="inlineStr">
        <is>
          <t>A11Y-01</t>
        </is>
      </c>
      <c r="B101" s="7" t="inlineStr">
        <is>
          <t>Accessibility and usability</t>
        </is>
      </c>
      <c r="C101" s="8" t="inlineStr">
        <is>
          <t>TC-100</t>
        </is>
      </c>
      <c r="D101" s="7" t="inlineStr">
        <is>
          <t>P2</t>
        </is>
      </c>
      <c r="E101" s="7" t="inlineStr">
        <is>
          <t>Check contrast in both themes</t>
        </is>
      </c>
      <c r="F101" s="7" t="inlineStr">
        <is>
          <t>Contrast checker available.</t>
        </is>
      </c>
      <c r="G101" s="7" t="inlineStr">
        <is>
          <t>Check text, focus, tags and chart legend light/dark.</t>
        </is>
      </c>
      <c r="H101" s="7" t="inlineStr">
        <is>
          <t>Applicable text meets WCAG AA; status is not communicated by color alone.</t>
        </is>
      </c>
      <c r="I101" s="7" t="inlineStr">
        <is>
          <t>Not executed — record observed result during execution.</t>
        </is>
      </c>
      <c r="J101" s="5" t="inlineStr">
        <is>
          <t>Not Run</t>
        </is>
      </c>
      <c r="K101" s="7" t="inlineStr">
        <is>
          <t>Not captured — attach screenshot path or evidence link after execution.</t>
        </is>
      </c>
    </row>
    <row r="102" ht="63" customHeight="1">
      <c r="A102" s="2" t="inlineStr">
        <is>
          <t>A11Y-01</t>
        </is>
      </c>
      <c r="B102" s="3" t="inlineStr">
        <is>
          <t>Accessibility and usability</t>
        </is>
      </c>
      <c r="C102" s="4" t="inlineStr">
        <is>
          <t>TC-101</t>
        </is>
      </c>
      <c r="D102" s="3" t="inlineStr">
        <is>
          <t>P2</t>
        </is>
      </c>
      <c r="E102" s="3" t="inlineStr">
        <is>
          <t>Check success/error announcements</t>
        </is>
      </c>
      <c r="F102" s="3" t="inlineStr">
        <is>
          <t>Can trigger validation and API outcomes.</t>
        </is>
      </c>
      <c r="G102" s="3" t="inlineStr">
        <is>
          <t>Observe toasts for upload error, compare success and report error.</t>
        </is>
      </c>
      <c r="H102" s="3" t="inlineStr">
        <is>
          <t>Feedback is timely, understandable, dismissible and accessibly announced.</t>
        </is>
      </c>
      <c r="I102" s="3" t="inlineStr">
        <is>
          <t>Not executed — record observed result during execution.</t>
        </is>
      </c>
      <c r="J102" s="5" t="inlineStr">
        <is>
          <t>Not Run</t>
        </is>
      </c>
      <c r="K102" s="3" t="inlineStr">
        <is>
          <t>Not captured — attach screenshot path or evidence link after execution.</t>
        </is>
      </c>
    </row>
    <row r="103" ht="63" customHeight="1">
      <c r="A103" s="6" t="inlineStr">
        <is>
          <t>A11Y-01</t>
        </is>
      </c>
      <c r="B103" s="7" t="inlineStr">
        <is>
          <t>Accessibility and usability</t>
        </is>
      </c>
      <c r="C103" s="8" t="inlineStr">
        <is>
          <t>TC-102</t>
        </is>
      </c>
      <c r="D103" s="7" t="inlineStr">
        <is>
          <t>P3</t>
        </is>
      </c>
      <c r="E103" s="7" t="inlineStr">
        <is>
          <t>Operate tables on mobile</t>
        </is>
      </c>
      <c r="F103" s="7" t="inlineStr">
        <is>
          <t>Use 390px viewport.</t>
        </is>
      </c>
      <c r="G103" s="7" t="inlineStr">
        <is>
          <t>Filter, scroll horizontally and paginate tables.</t>
        </is>
      </c>
      <c r="H103" s="7" t="inlineStr">
        <is>
          <t>Values and controls remain reachable without layout breakage.</t>
        </is>
      </c>
      <c r="I103" s="7" t="inlineStr">
        <is>
          <t>Not executed — record observed result during execution.</t>
        </is>
      </c>
      <c r="J103" s="5" t="inlineStr">
        <is>
          <t>Not Run</t>
        </is>
      </c>
      <c r="K103" s="7" t="inlineStr">
        <is>
          <t>Not captured — attach screenshot path or evidence link after execution.</t>
        </is>
      </c>
    </row>
    <row r="104" ht="63" customHeight="1">
      <c r="A104" s="2" t="inlineStr">
        <is>
          <t>COMPAT-01</t>
        </is>
      </c>
      <c r="B104" s="3" t="inlineStr">
        <is>
          <t>Browser compatibility and session lifecycle</t>
        </is>
      </c>
      <c r="C104" s="4" t="inlineStr">
        <is>
          <t>TC-103</t>
        </is>
      </c>
      <c r="D104" s="3" t="inlineStr">
        <is>
          <t>P2</t>
        </is>
      </c>
      <c r="E104" s="3" t="inlineStr">
        <is>
          <t>Chromium browser smoke test</t>
        </is>
      </c>
      <c r="F104" s="3" t="inlineStr">
        <is>
          <t>Current Chrome/Edge.</t>
        </is>
      </c>
      <c r="G104" s="3" t="inlineStr">
        <is>
          <t>Run upload, preview, compare, filter and export flow.</t>
        </is>
      </c>
      <c r="H104" s="3" t="inlineStr">
        <is>
          <t>Core flow works without browser-specific errors.</t>
        </is>
      </c>
      <c r="I104" s="3" t="inlineStr">
        <is>
          <t>Not executed — record observed result during execution.</t>
        </is>
      </c>
      <c r="J104" s="5" t="inlineStr">
        <is>
          <t>Not Run</t>
        </is>
      </c>
      <c r="K104" s="3" t="inlineStr">
        <is>
          <t>Not captured — attach screenshot path or evidence link after execution.</t>
        </is>
      </c>
    </row>
    <row r="105" ht="63" customHeight="1">
      <c r="A105" s="6" t="inlineStr">
        <is>
          <t>COMPAT-01</t>
        </is>
      </c>
      <c r="B105" s="7" t="inlineStr">
        <is>
          <t>Browser compatibility and session lifecycle</t>
        </is>
      </c>
      <c r="C105" s="8" t="inlineStr">
        <is>
          <t>TC-104</t>
        </is>
      </c>
      <c r="D105" s="7" t="inlineStr">
        <is>
          <t>P2</t>
        </is>
      </c>
      <c r="E105" s="7" t="inlineStr">
        <is>
          <t>Firefox browser smoke test</t>
        </is>
      </c>
      <c r="F105" s="7" t="inlineStr">
        <is>
          <t>Current Firefox.</t>
        </is>
      </c>
      <c r="G105" s="7" t="inlineStr">
        <is>
          <t>Run the same core flow.</t>
        </is>
      </c>
      <c r="H105" s="7" t="inlineStr">
        <is>
          <t>Core flow works or limitation is logged.</t>
        </is>
      </c>
      <c r="I105" s="7" t="inlineStr">
        <is>
          <t>Not executed — record observed result during execution.</t>
        </is>
      </c>
      <c r="J105" s="5" t="inlineStr">
        <is>
          <t>Not Run</t>
        </is>
      </c>
      <c r="K105" s="7" t="inlineStr">
        <is>
          <t>Not captured — attach screenshot path or evidence link after execution.</t>
        </is>
      </c>
    </row>
    <row r="106" ht="63" customHeight="1">
      <c r="A106" s="2" t="inlineStr">
        <is>
          <t>COMPAT-01</t>
        </is>
      </c>
      <c r="B106" s="3" t="inlineStr">
        <is>
          <t>Browser compatibility and session lifecycle</t>
        </is>
      </c>
      <c r="C106" s="4" t="inlineStr">
        <is>
          <t>TC-105</t>
        </is>
      </c>
      <c r="D106" s="3" t="inlineStr">
        <is>
          <t>P2</t>
        </is>
      </c>
      <c r="E106" s="3" t="inlineStr">
        <is>
          <t>Reload idle dashboard</t>
        </is>
      </c>
      <c r="F106" s="3" t="inlineStr">
        <is>
          <t>No active run.</t>
        </is>
      </c>
      <c r="G106" s="3" t="inlineStr">
        <is>
          <t>Refresh /reconciliation.</t>
        </is>
      </c>
      <c r="H106" s="3" t="inlineStr">
        <is>
          <t>Route loads and app starts in a valid state.</t>
        </is>
      </c>
      <c r="I106" s="3" t="inlineStr">
        <is>
          <t>Not executed — record observed result during execution.</t>
        </is>
      </c>
      <c r="J106" s="5" t="inlineStr">
        <is>
          <t>Not Run</t>
        </is>
      </c>
      <c r="K106" s="3" t="inlineStr">
        <is>
          <t>Not captured — attach screenshot path or evidence link after execution.</t>
        </is>
      </c>
    </row>
    <row r="107" ht="63" customHeight="1">
      <c r="A107" s="6" t="inlineStr">
        <is>
          <t>COMPAT-01</t>
        </is>
      </c>
      <c r="B107" s="7" t="inlineStr">
        <is>
          <t>Browser compatibility and session lifecycle</t>
        </is>
      </c>
      <c r="C107" s="8" t="inlineStr">
        <is>
          <t>TC-106</t>
        </is>
      </c>
      <c r="D107" s="7" t="inlineStr">
        <is>
          <t>P2</t>
        </is>
      </c>
      <c r="E107" s="7" t="inlineStr">
        <is>
          <t>Reload after comparison</t>
        </is>
      </c>
      <c r="F107" s="7" t="inlineStr">
        <is>
          <t>Run completed.</t>
        </is>
      </c>
      <c r="G107" s="7" t="inlineStr">
        <is>
          <t>Refresh and inspect session behavior.</t>
        </is>
      </c>
      <c r="H107" s="7" t="inlineStr">
        <is>
          <t>No stale/incorrect results; in-memory non-persistence is clearly understood.</t>
        </is>
      </c>
      <c r="I107" s="7" t="inlineStr">
        <is>
          <t>Not executed — record observed result during execution.</t>
        </is>
      </c>
      <c r="J107" s="5" t="inlineStr">
        <is>
          <t>Not Run</t>
        </is>
      </c>
      <c r="K107" s="7" t="inlineStr">
        <is>
          <t>Not captured — attach screenshot path or evidence link after execution.</t>
        </is>
      </c>
    </row>
    <row r="108" ht="63" customHeight="1">
      <c r="A108" s="2" t="inlineStr">
        <is>
          <t>COMPAT-01</t>
        </is>
      </c>
      <c r="B108" s="3" t="inlineStr">
        <is>
          <t>Browser compatibility and session lifecycle</t>
        </is>
      </c>
      <c r="C108" s="4" t="inlineStr">
        <is>
          <t>TC-107</t>
        </is>
      </c>
      <c r="D108" s="3" t="inlineStr">
        <is>
          <t>P2</t>
        </is>
      </c>
      <c r="E108" s="3" t="inlineStr">
        <is>
          <t>Backend restart clears runs</t>
        </is>
      </c>
      <c r="F108" s="3" t="inlineStr">
        <is>
          <t>Comparison completed; test environment.</t>
        </is>
      </c>
      <c r="G108" s="3" t="inlineStr">
        <is>
          <t>Restart backend; request previous comparison ID.</t>
        </is>
      </c>
      <c r="H108" s="3" t="inlineStr">
        <is>
          <t>Old ID returns 404; no stale run is shown as durable history.</t>
        </is>
      </c>
      <c r="I108" s="3" t="inlineStr">
        <is>
          <t>Not executed — record observed result during execution.</t>
        </is>
      </c>
      <c r="J108" s="5" t="inlineStr">
        <is>
          <t>Not Run</t>
        </is>
      </c>
      <c r="K108" s="3" t="inlineStr">
        <is>
          <t>Not captured — attach screenshot path or evidence link after execution.</t>
        </is>
      </c>
    </row>
    <row r="109" ht="63" customHeight="1">
      <c r="A109" s="6" t="inlineStr">
        <is>
          <t>EXT-01</t>
        </is>
      </c>
      <c r="B109" s="7" t="inlineStr">
        <is>
          <t>File format and encoding matrix</t>
        </is>
      </c>
      <c r="C109" s="8" t="inlineStr">
        <is>
          <t>TC-108</t>
        </is>
      </c>
      <c r="D109" s="7" t="inlineStr">
        <is>
          <t>P1</t>
        </is>
      </c>
      <c r="E109" s="7" t="inlineStr">
        <is>
          <t>CSV source and CSV target</t>
        </is>
      </c>
      <c r="F109" s="7" t="inlineStr">
        <is>
          <t>Both datasets are valid UTF-8 CSV files.</t>
        </is>
      </c>
      <c r="G109" s="7" t="inlineStr">
        <is>
          <t>Upload CSV as source and target, then preview and compare.</t>
        </is>
      </c>
      <c r="H109" s="7" t="inlineStr">
        <is>
          <t>Both files parse; preview and comparison use correct headers and rows.</t>
        </is>
      </c>
      <c r="I109" s="7" t="inlineStr">
        <is>
          <t>Not executed — record observed result during execution.</t>
        </is>
      </c>
      <c r="J109" s="5" t="inlineStr">
        <is>
          <t>Not Run</t>
        </is>
      </c>
      <c r="K109" s="7" t="inlineStr">
        <is>
          <t>Not captured — attach screenshot path or evidence link after execution.</t>
        </is>
      </c>
    </row>
    <row r="110" ht="63" customHeight="1">
      <c r="A110" s="2" t="inlineStr">
        <is>
          <t>EXT-01</t>
        </is>
      </c>
      <c r="B110" s="3" t="inlineStr">
        <is>
          <t>File format and encoding matrix</t>
        </is>
      </c>
      <c r="C110" s="4" t="inlineStr">
        <is>
          <t>TC-109</t>
        </is>
      </c>
      <c r="D110" s="3" t="inlineStr">
        <is>
          <t>P1</t>
        </is>
      </c>
      <c r="E110" s="3" t="inlineStr">
        <is>
          <t>CSV source and XLSX target</t>
        </is>
      </c>
      <c r="F110" s="3" t="inlineStr">
        <is>
          <t>Equivalent datasets saved as CSV and XLSX.</t>
        </is>
      </c>
      <c r="G110" s="3" t="inlineStr">
        <is>
          <t>Upload the CSV source and XLSX target; compare.</t>
        </is>
      </c>
      <c r="H110" s="3" t="inlineStr">
        <is>
          <t>Equivalent rows reconcile with expected summary.</t>
        </is>
      </c>
      <c r="I110" s="3" t="inlineStr">
        <is>
          <t>Not executed — record observed result during execution.</t>
        </is>
      </c>
      <c r="J110" s="5" t="inlineStr">
        <is>
          <t>Not Run</t>
        </is>
      </c>
      <c r="K110" s="3" t="inlineStr">
        <is>
          <t>Not captured — attach screenshot path or evidence link after execution.</t>
        </is>
      </c>
    </row>
    <row r="111" ht="63" customHeight="1">
      <c r="A111" s="6" t="inlineStr">
        <is>
          <t>EXT-01</t>
        </is>
      </c>
      <c r="B111" s="7" t="inlineStr">
        <is>
          <t>File format and encoding matrix</t>
        </is>
      </c>
      <c r="C111" s="8" t="inlineStr">
        <is>
          <t>TC-110</t>
        </is>
      </c>
      <c r="D111" s="7" t="inlineStr">
        <is>
          <t>P1</t>
        </is>
      </c>
      <c r="E111" s="7" t="inlineStr">
        <is>
          <t>XLSX source and CSV target</t>
        </is>
      </c>
      <c r="F111" s="7" t="inlineStr">
        <is>
          <t>Equivalent datasets saved as XLSX and CSV.</t>
        </is>
      </c>
      <c r="G111" s="7" t="inlineStr">
        <is>
          <t>Upload the XLSX source and CSV target; compare.</t>
        </is>
      </c>
      <c r="H111" s="7" t="inlineStr">
        <is>
          <t>Equivalent rows reconcile with expected summary.</t>
        </is>
      </c>
      <c r="I111" s="7" t="inlineStr">
        <is>
          <t>Not executed — record observed result during execution.</t>
        </is>
      </c>
      <c r="J111" s="5" t="inlineStr">
        <is>
          <t>Not Run</t>
        </is>
      </c>
      <c r="K111" s="7" t="inlineStr">
        <is>
          <t>Not captured — attach screenshot path or evidence link after execution.</t>
        </is>
      </c>
    </row>
    <row r="112" ht="63" customHeight="1">
      <c r="A112" s="2" t="inlineStr">
        <is>
          <t>EXT-01</t>
        </is>
      </c>
      <c r="B112" s="3" t="inlineStr">
        <is>
          <t>File format and encoding matrix</t>
        </is>
      </c>
      <c r="C112" s="4" t="inlineStr">
        <is>
          <t>TC-111</t>
        </is>
      </c>
      <c r="D112" s="3" t="inlineStr">
        <is>
          <t>P1</t>
        </is>
      </c>
      <c r="E112" s="3" t="inlineStr">
        <is>
          <t>XLS source and XLSX target</t>
        </is>
      </c>
      <c r="F112" s="3" t="inlineStr">
        <is>
          <t>Equivalent legacy and modern workbooks.</t>
        </is>
      </c>
      <c r="G112" s="3" t="inlineStr">
        <is>
          <t>Upload both workbook types and compare.</t>
        </is>
      </c>
      <c r="H112" s="3" t="inlineStr">
        <is>
          <t>Both formats load with consistent columns and values.</t>
        </is>
      </c>
      <c r="I112" s="3" t="inlineStr">
        <is>
          <t>Not executed — record observed result during execution.</t>
        </is>
      </c>
      <c r="J112" s="5" t="inlineStr">
        <is>
          <t>Not Run</t>
        </is>
      </c>
      <c r="K112" s="3" t="inlineStr">
        <is>
          <t>Not captured — attach screenshot path or evidence link after execution.</t>
        </is>
      </c>
    </row>
    <row r="113" ht="63" customHeight="1">
      <c r="A113" s="6" t="inlineStr">
        <is>
          <t>EXT-01</t>
        </is>
      </c>
      <c r="B113" s="7" t="inlineStr">
        <is>
          <t>File format and encoding matrix</t>
        </is>
      </c>
      <c r="C113" s="8" t="inlineStr">
        <is>
          <t>TC-112</t>
        </is>
      </c>
      <c r="D113" s="7" t="inlineStr">
        <is>
          <t>P1</t>
        </is>
      </c>
      <c r="E113" s="7" t="inlineStr">
        <is>
          <t>TXT with tab delimiter</t>
        </is>
      </c>
      <c r="F113" s="7" t="inlineStr">
        <is>
          <t>Header-based TSV file.</t>
        </is>
      </c>
      <c r="G113" s="7" t="inlineStr">
        <is>
          <t>Preview and compare TXT files.</t>
        </is>
      </c>
      <c r="H113" s="7" t="inlineStr">
        <is>
          <t>Tab-separated fields are detected and parsed correctly.</t>
        </is>
      </c>
      <c r="I113" s="7" t="inlineStr">
        <is>
          <t>Not executed — record observed result during execution.</t>
        </is>
      </c>
      <c r="J113" s="5" t="inlineStr">
        <is>
          <t>Not Run</t>
        </is>
      </c>
      <c r="K113" s="7" t="inlineStr">
        <is>
          <t>Not captured — attach screenshot path or evidence link after execution.</t>
        </is>
      </c>
    </row>
    <row r="114" ht="63" customHeight="1">
      <c r="A114" s="2" t="inlineStr">
        <is>
          <t>EXT-01</t>
        </is>
      </c>
      <c r="B114" s="3" t="inlineStr">
        <is>
          <t>File format and encoding matrix</t>
        </is>
      </c>
      <c r="C114" s="4" t="inlineStr">
        <is>
          <t>TC-113</t>
        </is>
      </c>
      <c r="D114" s="3" t="inlineStr">
        <is>
          <t>P2</t>
        </is>
      </c>
      <c r="E114" s="3" t="inlineStr">
        <is>
          <t>TXT with semicolon delimiter</t>
        </is>
      </c>
      <c r="F114" s="3" t="inlineStr">
        <is>
          <t>Semicolon-delimited header file.</t>
        </is>
      </c>
      <c r="G114" s="3" t="inlineStr">
        <is>
          <t>Preview the TXT file.</t>
        </is>
      </c>
      <c r="H114" s="3" t="inlineStr">
        <is>
          <t>Delimiter inference produces expected columns and records.</t>
        </is>
      </c>
      <c r="I114" s="3" t="inlineStr">
        <is>
          <t>Not executed — record observed result during execution.</t>
        </is>
      </c>
      <c r="J114" s="5" t="inlineStr">
        <is>
          <t>Not Run</t>
        </is>
      </c>
      <c r="K114" s="3" t="inlineStr">
        <is>
          <t>Not captured — attach screenshot path or evidence link after execution.</t>
        </is>
      </c>
    </row>
    <row r="115" ht="63" customHeight="1">
      <c r="A115" s="6" t="inlineStr">
        <is>
          <t>EXT-01</t>
        </is>
      </c>
      <c r="B115" s="7" t="inlineStr">
        <is>
          <t>File format and encoding matrix</t>
        </is>
      </c>
      <c r="C115" s="8" t="inlineStr">
        <is>
          <t>TC-114</t>
        </is>
      </c>
      <c r="D115" s="7" t="inlineStr">
        <is>
          <t>P2</t>
        </is>
      </c>
      <c r="E115" s="7" t="inlineStr">
        <is>
          <t>CSV with semicolon delimiter</t>
        </is>
      </c>
      <c r="F115" s="7" t="inlineStr">
        <is>
          <t>Semicolon-delimited file with .csv extension.</t>
        </is>
      </c>
      <c r="G115" s="7" t="inlineStr">
        <is>
          <t>Upload and preview.</t>
        </is>
      </c>
      <c r="H115" s="7" t="inlineStr">
        <is>
          <t>Parsing behavior is documented; rows are not silently merged into one column.</t>
        </is>
      </c>
      <c r="I115" s="7" t="inlineStr">
        <is>
          <t>Not executed — record observed result during execution.</t>
        </is>
      </c>
      <c r="J115" s="5" t="inlineStr">
        <is>
          <t>Not Run</t>
        </is>
      </c>
      <c r="K115" s="7" t="inlineStr">
        <is>
          <t>Not captured — attach screenshot path or evidence link after execution.</t>
        </is>
      </c>
    </row>
    <row r="116" ht="63" customHeight="1">
      <c r="A116" s="2" t="inlineStr">
        <is>
          <t>EXT-01</t>
        </is>
      </c>
      <c r="B116" s="3" t="inlineStr">
        <is>
          <t>File format and encoding matrix</t>
        </is>
      </c>
      <c r="C116" s="4" t="inlineStr">
        <is>
          <t>TC-115</t>
        </is>
      </c>
      <c r="D116" s="3" t="inlineStr">
        <is>
          <t>P1</t>
        </is>
      </c>
      <c r="E116" s="3" t="inlineStr">
        <is>
          <t>UTF-8 BOM CSV</t>
        </is>
      </c>
      <c r="F116" s="3" t="inlineStr">
        <is>
          <t>CSV begins with UTF-8 BOM.</t>
        </is>
      </c>
      <c r="G116" s="3" t="inlineStr">
        <is>
          <t>Upload and compare.</t>
        </is>
      </c>
      <c r="H116" s="3" t="inlineStr">
        <is>
          <t>First header is recognized without a BOM prefix.</t>
        </is>
      </c>
      <c r="I116" s="3" t="inlineStr">
        <is>
          <t>Not executed — record observed result during execution.</t>
        </is>
      </c>
      <c r="J116" s="5" t="inlineStr">
        <is>
          <t>Not Run</t>
        </is>
      </c>
      <c r="K116" s="3" t="inlineStr">
        <is>
          <t>Not captured — attach screenshot path or evidence link after execution.</t>
        </is>
      </c>
    </row>
    <row r="117" ht="63" customHeight="1">
      <c r="A117" s="6" t="inlineStr">
        <is>
          <t>EXT-01</t>
        </is>
      </c>
      <c r="B117" s="7" t="inlineStr">
        <is>
          <t>File format and encoding matrix</t>
        </is>
      </c>
      <c r="C117" s="8" t="inlineStr">
        <is>
          <t>TC-116</t>
        </is>
      </c>
      <c r="D117" s="7" t="inlineStr">
        <is>
          <t>P2</t>
        </is>
      </c>
      <c r="E117" s="7" t="inlineStr">
        <is>
          <t>UTF-8 multibyte data</t>
        </is>
      </c>
      <c r="F117" s="7" t="inlineStr">
        <is>
          <t>CSV contains accented characters and non-Latin text.</t>
        </is>
      </c>
      <c r="G117" s="7" t="inlineStr">
        <is>
          <t>Preview, compare, and export JSON/CSV.</t>
        </is>
      </c>
      <c r="H117" s="7" t="inlineStr">
        <is>
          <t>Text is preserved without replacement characters or mojibake.</t>
        </is>
      </c>
      <c r="I117" s="7" t="inlineStr">
        <is>
          <t>Not executed — record observed result during execution.</t>
        </is>
      </c>
      <c r="J117" s="5" t="inlineStr">
        <is>
          <t>Not Run</t>
        </is>
      </c>
      <c r="K117" s="7" t="inlineStr">
        <is>
          <t>Not captured — attach screenshot path or evidence link after execution.</t>
        </is>
      </c>
    </row>
    <row r="118" ht="63" customHeight="1">
      <c r="A118" s="2" t="inlineStr">
        <is>
          <t>EXT-01</t>
        </is>
      </c>
      <c r="B118" s="3" t="inlineStr">
        <is>
          <t>File format and encoding matrix</t>
        </is>
      </c>
      <c r="C118" s="4" t="inlineStr">
        <is>
          <t>TC-117</t>
        </is>
      </c>
      <c r="D118" s="3" t="inlineStr">
        <is>
          <t>P2</t>
        </is>
      </c>
      <c r="E118" s="3" t="inlineStr">
        <is>
          <t>Legacy Windows-1252 CSV</t>
        </is>
      </c>
      <c r="F118" s="3" t="inlineStr">
        <is>
          <t>CSV contains Windows-1252 punctuation.</t>
        </is>
      </c>
      <c r="G118" s="3" t="inlineStr">
        <is>
          <t>Upload and inspect preview.</t>
        </is>
      </c>
      <c r="H118" s="3" t="inlineStr">
        <is>
          <t>File either parses correctly or returns a clear encoding error; no silent corruption.</t>
        </is>
      </c>
      <c r="I118" s="3" t="inlineStr">
        <is>
          <t>Not executed — record observed result during execution.</t>
        </is>
      </c>
      <c r="J118" s="5" t="inlineStr">
        <is>
          <t>Not Run</t>
        </is>
      </c>
      <c r="K118" s="3" t="inlineStr">
        <is>
          <t>Not captured — attach screenshot path or evidence link after execution.</t>
        </is>
      </c>
    </row>
    <row r="119" ht="63" customHeight="1">
      <c r="A119" s="6" t="inlineStr">
        <is>
          <t>EXT-01</t>
        </is>
      </c>
      <c r="B119" s="7" t="inlineStr">
        <is>
          <t>File format and encoding matrix</t>
        </is>
      </c>
      <c r="C119" s="8" t="inlineStr">
        <is>
          <t>TC-118</t>
        </is>
      </c>
      <c r="D119" s="7" t="inlineStr">
        <is>
          <t>P2</t>
        </is>
      </c>
      <c r="E119" s="7" t="inlineStr">
        <is>
          <t>Quoted delimiter in CSV field</t>
        </is>
      </c>
      <c r="F119" s="7" t="inlineStr">
        <is>
          <t>CSV has quoted text containing commas or delimiters.</t>
        </is>
      </c>
      <c r="G119" s="7" t="inlineStr">
        <is>
          <t>Preview the file.</t>
        </is>
      </c>
      <c r="H119" s="7" t="inlineStr">
        <is>
          <t>Quoted delimiters remain part of the cell value.</t>
        </is>
      </c>
      <c r="I119" s="7" t="inlineStr">
        <is>
          <t>Not executed — record observed result during execution.</t>
        </is>
      </c>
      <c r="J119" s="5" t="inlineStr">
        <is>
          <t>Not Run</t>
        </is>
      </c>
      <c r="K119" s="7" t="inlineStr">
        <is>
          <t>Not captured — attach screenshot path or evidence link after execution.</t>
        </is>
      </c>
    </row>
    <row r="120" ht="63" customHeight="1">
      <c r="A120" s="2" t="inlineStr">
        <is>
          <t>EXT-01</t>
        </is>
      </c>
      <c r="B120" s="3" t="inlineStr">
        <is>
          <t>File format and encoding matrix</t>
        </is>
      </c>
      <c r="C120" s="4" t="inlineStr">
        <is>
          <t>TC-119</t>
        </is>
      </c>
      <c r="D120" s="3" t="inlineStr">
        <is>
          <t>P2</t>
        </is>
      </c>
      <c r="E120" s="3" t="inlineStr">
        <is>
          <t>Escaped quote in CSV field</t>
        </is>
      </c>
      <c r="F120" s="3" t="inlineStr">
        <is>
          <t>CSV uses escaped double quotes.</t>
        </is>
      </c>
      <c r="G120" s="3" t="inlineStr">
        <is>
          <t>Preview and export CSV.</t>
        </is>
      </c>
      <c r="H120" s="3" t="inlineStr">
        <is>
          <t>Quoted values are parsed and exported correctly.</t>
        </is>
      </c>
      <c r="I120" s="3" t="inlineStr">
        <is>
          <t>Not executed — record observed result during execution.</t>
        </is>
      </c>
      <c r="J120" s="5" t="inlineStr">
        <is>
          <t>Not Run</t>
        </is>
      </c>
      <c r="K120" s="3" t="inlineStr">
        <is>
          <t>Not captured — attach screenshot path or evidence link after execution.</t>
        </is>
      </c>
    </row>
    <row r="121" ht="63" customHeight="1">
      <c r="A121" s="6" t="inlineStr">
        <is>
          <t>EXT-01</t>
        </is>
      </c>
      <c r="B121" s="7" t="inlineStr">
        <is>
          <t>File format and encoding matrix</t>
        </is>
      </c>
      <c r="C121" s="8" t="inlineStr">
        <is>
          <t>TC-120</t>
        </is>
      </c>
      <c r="D121" s="7" t="inlineStr">
        <is>
          <t>P2</t>
        </is>
      </c>
      <c r="E121" s="7" t="inlineStr">
        <is>
          <t>Embedded newline in quoted cell</t>
        </is>
      </c>
      <c r="F121" s="7" t="inlineStr">
        <is>
          <t>CSV includes a quoted multiline field.</t>
        </is>
      </c>
      <c r="G121" s="7" t="inlineStr">
        <is>
          <t>Preview and compare.</t>
        </is>
      </c>
      <c r="H121" s="7" t="inlineStr">
        <is>
          <t>Multiline cell remains one record and record counts are accurate.</t>
        </is>
      </c>
      <c r="I121" s="7" t="inlineStr">
        <is>
          <t>Not executed — record observed result during execution.</t>
        </is>
      </c>
      <c r="J121" s="5" t="inlineStr">
        <is>
          <t>Not Run</t>
        </is>
      </c>
      <c r="K121" s="7" t="inlineStr">
        <is>
          <t>Not captured — attach screenshot path or evidence link after execution.</t>
        </is>
      </c>
    </row>
    <row r="122" ht="63" customHeight="1">
      <c r="A122" s="2" t="inlineStr">
        <is>
          <t>EXT-01</t>
        </is>
      </c>
      <c r="B122" s="3" t="inlineStr">
        <is>
          <t>File format and encoding matrix</t>
        </is>
      </c>
      <c r="C122" s="4" t="inlineStr">
        <is>
          <t>TC-121</t>
        </is>
      </c>
      <c r="D122" s="3" t="inlineStr">
        <is>
          <t>P2</t>
        </is>
      </c>
      <c r="E122" s="3" t="inlineStr">
        <is>
          <t>CRLF, LF and CR line endings</t>
        </is>
      </c>
      <c r="F122" s="3" t="inlineStr">
        <is>
          <t>Prepare files with each newline convention.</t>
        </is>
      </c>
      <c r="G122" s="3" t="inlineStr">
        <is>
          <t>Upload each file.</t>
        </is>
      </c>
      <c r="H122" s="3" t="inlineStr">
        <is>
          <t>All supported newline conventions produce correct rows.</t>
        </is>
      </c>
      <c r="I122" s="3" t="inlineStr">
        <is>
          <t>Not executed — record observed result during execution.</t>
        </is>
      </c>
      <c r="J122" s="5" t="inlineStr">
        <is>
          <t>Not Run</t>
        </is>
      </c>
      <c r="K122" s="3" t="inlineStr">
        <is>
          <t>Not captured — attach screenshot path or evidence link after execution.</t>
        </is>
      </c>
    </row>
    <row r="123" ht="63" customHeight="1">
      <c r="A123" s="6" t="inlineStr">
        <is>
          <t>EXT-01</t>
        </is>
      </c>
      <c r="B123" s="7" t="inlineStr">
        <is>
          <t>File format and encoding matrix</t>
        </is>
      </c>
      <c r="C123" s="8" t="inlineStr">
        <is>
          <t>TC-122</t>
        </is>
      </c>
      <c r="D123" s="7" t="inlineStr">
        <is>
          <t>P2</t>
        </is>
      </c>
      <c r="E123" s="7" t="inlineStr">
        <is>
          <t>CSV with trailing newline</t>
        </is>
      </c>
      <c r="F123" s="7" t="inlineStr">
        <is>
          <t>CSV ends with one or more newline characters.</t>
        </is>
      </c>
      <c r="G123" s="7" t="inlineStr">
        <is>
          <t>Preview and compare.</t>
        </is>
      </c>
      <c r="H123" s="7" t="inlineStr">
        <is>
          <t>No spurious empty record is added.</t>
        </is>
      </c>
      <c r="I123" s="7" t="inlineStr">
        <is>
          <t>Not executed — record observed result during execution.</t>
        </is>
      </c>
      <c r="J123" s="5" t="inlineStr">
        <is>
          <t>Not Run</t>
        </is>
      </c>
      <c r="K123" s="7" t="inlineStr">
        <is>
          <t>Not captured — attach screenshot path or evidence link after execution.</t>
        </is>
      </c>
    </row>
    <row r="124" ht="63" customHeight="1">
      <c r="A124" s="2" t="inlineStr">
        <is>
          <t>EXT-01</t>
        </is>
      </c>
      <c r="B124" s="3" t="inlineStr">
        <is>
          <t>File format and encoding matrix</t>
        </is>
      </c>
      <c r="C124" s="4" t="inlineStr">
        <is>
          <t>TC-123</t>
        </is>
      </c>
      <c r="D124" s="3" t="inlineStr">
        <is>
          <t>P2</t>
        </is>
      </c>
      <c r="E124" s="3" t="inlineStr">
        <is>
          <t>CSV with blank lines between records</t>
        </is>
      </c>
      <c r="F124" s="3" t="inlineStr">
        <is>
          <t>CSV includes blank lines.</t>
        </is>
      </c>
      <c r="G124" s="3" t="inlineStr">
        <is>
          <t>Upload and preview.</t>
        </is>
      </c>
      <c r="H124" s="3" t="inlineStr">
        <is>
          <t>Blank-line behavior is consistent and documented; record count is correct.</t>
        </is>
      </c>
      <c r="I124" s="3" t="inlineStr">
        <is>
          <t>Not executed — record observed result during execution.</t>
        </is>
      </c>
      <c r="J124" s="5" t="inlineStr">
        <is>
          <t>Not Run</t>
        </is>
      </c>
      <c r="K124" s="3" t="inlineStr">
        <is>
          <t>Not captured — attach screenshot path or evidence link after execution.</t>
        </is>
      </c>
    </row>
    <row r="125" ht="63" customHeight="1">
      <c r="A125" s="6" t="inlineStr">
        <is>
          <t>EXT-01</t>
        </is>
      </c>
      <c r="B125" s="7" t="inlineStr">
        <is>
          <t>File format and encoding matrix</t>
        </is>
      </c>
      <c r="C125" s="8" t="inlineStr">
        <is>
          <t>TC-124</t>
        </is>
      </c>
      <c r="D125" s="7" t="inlineStr">
        <is>
          <t>P2</t>
        </is>
      </c>
      <c r="E125" s="7" t="inlineStr">
        <is>
          <t>CSV with duplicate header names</t>
        </is>
      </c>
      <c r="F125" s="7" t="inlineStr">
        <is>
          <t>Two columns share the same header text.</t>
        </is>
      </c>
      <c r="G125" s="7" t="inlineStr">
        <is>
          <t>Upload preview and compare.</t>
        </is>
      </c>
      <c r="H125" s="7" t="inlineStr">
        <is>
          <t>Duplicate headers are rejected or deterministically disambiguated; columns are not silently overwritten.</t>
        </is>
      </c>
      <c r="I125" s="7" t="inlineStr">
        <is>
          <t>Not executed — record observed result during execution.</t>
        </is>
      </c>
      <c r="J125" s="5" t="inlineStr">
        <is>
          <t>Not Run</t>
        </is>
      </c>
      <c r="K125" s="7" t="inlineStr">
        <is>
          <t>Not captured — attach screenshot path or evidence link after execution.</t>
        </is>
      </c>
    </row>
    <row r="126" ht="63" customHeight="1">
      <c r="A126" s="2" t="inlineStr">
        <is>
          <t>EXT-01</t>
        </is>
      </c>
      <c r="B126" s="3" t="inlineStr">
        <is>
          <t>File format and encoding matrix</t>
        </is>
      </c>
      <c r="C126" s="4" t="inlineStr">
        <is>
          <t>TC-125</t>
        </is>
      </c>
      <c r="D126" s="3" t="inlineStr">
        <is>
          <t>P2</t>
        </is>
      </c>
      <c r="E126" s="3" t="inlineStr">
        <is>
          <t>CSV with empty header</t>
        </is>
      </c>
      <c r="F126" s="3" t="inlineStr">
        <is>
          <t>One header field is blank.</t>
        </is>
      </c>
      <c r="G126" s="3" t="inlineStr">
        <is>
          <t>Upload and preview.</t>
        </is>
      </c>
      <c r="H126" s="3" t="inlineStr">
        <is>
          <t>Clear validation or safe deterministic header label is shown.</t>
        </is>
      </c>
      <c r="I126" s="3" t="inlineStr">
        <is>
          <t>Not executed — record observed result during execution.</t>
        </is>
      </c>
      <c r="J126" s="5" t="inlineStr">
        <is>
          <t>Not Run</t>
        </is>
      </c>
      <c r="K126" s="3" t="inlineStr">
        <is>
          <t>Not captured — attach screenshot path or evidence link after execution.</t>
        </is>
      </c>
    </row>
    <row r="127" ht="63" customHeight="1">
      <c r="A127" s="6" t="inlineStr">
        <is>
          <t>EXT-01</t>
        </is>
      </c>
      <c r="B127" s="7" t="inlineStr">
        <is>
          <t>File format and encoding matrix</t>
        </is>
      </c>
      <c r="C127" s="8" t="inlineStr">
        <is>
          <t>TC-126</t>
        </is>
      </c>
      <c r="D127" s="7" t="inlineStr">
        <is>
          <t>P2</t>
        </is>
      </c>
      <c r="E127" s="7" t="inlineStr">
        <is>
          <t>CSV with whitespace-only header</t>
        </is>
      </c>
      <c r="F127" s="7" t="inlineStr">
        <is>
          <t>Header contains only whitespace.</t>
        </is>
      </c>
      <c r="G127" s="7" t="inlineStr">
        <is>
          <t>Upload and preview.</t>
        </is>
      </c>
      <c r="H127" s="7" t="inlineStr">
        <is>
          <t>Clear validation or safe trimmed label; no confusing blank field.</t>
        </is>
      </c>
      <c r="I127" s="7" t="inlineStr">
        <is>
          <t>Not executed — record observed result during execution.</t>
        </is>
      </c>
      <c r="J127" s="5" t="inlineStr">
        <is>
          <t>Not Run</t>
        </is>
      </c>
      <c r="K127" s="7" t="inlineStr">
        <is>
          <t>Not captured — attach screenshot path or evidence link after execution.</t>
        </is>
      </c>
    </row>
    <row r="128" ht="63" customHeight="1">
      <c r="A128" s="2" t="inlineStr">
        <is>
          <t>EXT-01</t>
        </is>
      </c>
      <c r="B128" s="3" t="inlineStr">
        <is>
          <t>File format and encoding matrix</t>
        </is>
      </c>
      <c r="C128" s="4" t="inlineStr">
        <is>
          <t>TC-127</t>
        </is>
      </c>
      <c r="D128" s="3" t="inlineStr">
        <is>
          <t>P2</t>
        </is>
      </c>
      <c r="E128" s="3" t="inlineStr">
        <is>
          <t>CSV with Unicode header names</t>
        </is>
      </c>
      <c r="F128" s="3" t="inlineStr">
        <is>
          <t>Shared fields use Unicode column names.</t>
        </is>
      </c>
      <c r="G128" s="3" t="inlineStr">
        <is>
          <t>Preview, select primary key, and compare.</t>
        </is>
      </c>
      <c r="H128" s="3" t="inlineStr">
        <is>
          <t>Unicode field names remain selectable and appear correctly in reports.</t>
        </is>
      </c>
      <c r="I128" s="3" t="inlineStr">
        <is>
          <t>Not executed — record observed result during execution.</t>
        </is>
      </c>
      <c r="J128" s="5" t="inlineStr">
        <is>
          <t>Not Run</t>
        </is>
      </c>
      <c r="K128" s="3" t="inlineStr">
        <is>
          <t>Not captured — attach screenshot path or evidence link after execution.</t>
        </is>
      </c>
    </row>
    <row r="129" ht="63" customHeight="1">
      <c r="A129" s="6" t="inlineStr">
        <is>
          <t>EXT-01</t>
        </is>
      </c>
      <c r="B129" s="7" t="inlineStr">
        <is>
          <t>File format and encoding matrix</t>
        </is>
      </c>
      <c r="C129" s="8" t="inlineStr">
        <is>
          <t>TC-128</t>
        </is>
      </c>
      <c r="D129" s="7" t="inlineStr">
        <is>
          <t>P1</t>
        </is>
      </c>
      <c r="E129" s="7" t="inlineStr">
        <is>
          <t>XLSX with multiple worksheets</t>
        </is>
      </c>
      <c r="F129" s="7" t="inlineStr">
        <is>
          <t>Workbook has multiple sheets with different data.</t>
        </is>
      </c>
      <c r="G129" s="7" t="inlineStr">
        <is>
          <t>Upload and preview.</t>
        </is>
      </c>
      <c r="H129" s="7" t="inlineStr">
        <is>
          <t>The selected/default worksheet behavior is explicit and predictable.</t>
        </is>
      </c>
      <c r="I129" s="7" t="inlineStr">
        <is>
          <t>Not executed — record observed result during execution.</t>
        </is>
      </c>
      <c r="J129" s="5" t="inlineStr">
        <is>
          <t>Not Run</t>
        </is>
      </c>
      <c r="K129" s="7" t="inlineStr">
        <is>
          <t>Not captured — attach screenshot path or evidence link after execution.</t>
        </is>
      </c>
    </row>
    <row r="130" ht="63" customHeight="1">
      <c r="A130" s="2" t="inlineStr">
        <is>
          <t>EXT-01</t>
        </is>
      </c>
      <c r="B130" s="3" t="inlineStr">
        <is>
          <t>File format and encoding matrix</t>
        </is>
      </c>
      <c r="C130" s="4" t="inlineStr">
        <is>
          <t>TC-129</t>
        </is>
      </c>
      <c r="D130" s="3" t="inlineStr">
        <is>
          <t>P1</t>
        </is>
      </c>
      <c r="E130" s="3" t="inlineStr">
        <is>
          <t>XLSX first worksheet empty, second populated</t>
        </is>
      </c>
      <c r="F130" s="3" t="inlineStr">
        <is>
          <t>Workbook includes empty first sheet and data on second.</t>
        </is>
      </c>
      <c r="G130" s="3" t="inlineStr">
        <is>
          <t>Upload and preview.</t>
        </is>
      </c>
      <c r="H130" s="3" t="inlineStr">
        <is>
          <t>Empty-sheet behavior is explicit; data is not silently taken from an unintended sheet.</t>
        </is>
      </c>
      <c r="I130" s="3" t="inlineStr">
        <is>
          <t>Not executed — record observed result during execution.</t>
        </is>
      </c>
      <c r="J130" s="5" t="inlineStr">
        <is>
          <t>Not Run</t>
        </is>
      </c>
      <c r="K130" s="3" t="inlineStr">
        <is>
          <t>Not captured — attach screenshot path or evidence link after execution.</t>
        </is>
      </c>
    </row>
    <row r="131" ht="63" customHeight="1">
      <c r="A131" s="6" t="inlineStr">
        <is>
          <t>EXT-01</t>
        </is>
      </c>
      <c r="B131" s="7" t="inlineStr">
        <is>
          <t>File format and encoding matrix</t>
        </is>
      </c>
      <c r="C131" s="8" t="inlineStr">
        <is>
          <t>TC-130</t>
        </is>
      </c>
      <c r="D131" s="7" t="inlineStr">
        <is>
          <t>P2</t>
        </is>
      </c>
      <c r="E131" s="7" t="inlineStr">
        <is>
          <t>XLSX with hidden worksheet</t>
        </is>
      </c>
      <c r="F131" s="7" t="inlineStr">
        <is>
          <t>Workbook has hidden and visible sheets.</t>
        </is>
      </c>
      <c r="G131" s="7" t="inlineStr">
        <is>
          <t>Upload and preview.</t>
        </is>
      </c>
      <c r="H131" s="7" t="inlineStr">
        <is>
          <t>Sheet selection behavior does not expose unintended hidden data.</t>
        </is>
      </c>
      <c r="I131" s="7" t="inlineStr">
        <is>
          <t>Not executed — record observed result during execution.</t>
        </is>
      </c>
      <c r="J131" s="5" t="inlineStr">
        <is>
          <t>Not Run</t>
        </is>
      </c>
      <c r="K131" s="7" t="inlineStr">
        <is>
          <t>Not captured — attach screenshot path or evidence link after execution.</t>
        </is>
      </c>
    </row>
    <row r="132" ht="63" customHeight="1">
      <c r="A132" s="2" t="inlineStr">
        <is>
          <t>EXT-01</t>
        </is>
      </c>
      <c r="B132" s="3" t="inlineStr">
        <is>
          <t>File format and encoding matrix</t>
        </is>
      </c>
      <c r="C132" s="4" t="inlineStr">
        <is>
          <t>TC-131</t>
        </is>
      </c>
      <c r="D132" s="3" t="inlineStr">
        <is>
          <t>P2</t>
        </is>
      </c>
      <c r="E132" s="3" t="inlineStr">
        <is>
          <t>XLSX with formulas</t>
        </is>
      </c>
      <c r="F132" s="3" t="inlineStr">
        <is>
          <t>Cells include formulas and cached values.</t>
        </is>
      </c>
      <c r="G132" s="3" t="inlineStr">
        <is>
          <t>Upload and preview.</t>
        </is>
      </c>
      <c r="H132" s="3" t="inlineStr">
        <is>
          <t>Document whether formula text or cached values are compared; result is consistent.</t>
        </is>
      </c>
      <c r="I132" s="3" t="inlineStr">
        <is>
          <t>Not executed — record observed result during execution.</t>
        </is>
      </c>
      <c r="J132" s="5" t="inlineStr">
        <is>
          <t>Not Run</t>
        </is>
      </c>
      <c r="K132" s="3" t="inlineStr">
        <is>
          <t>Not captured — attach screenshot path or evidence link after execution.</t>
        </is>
      </c>
    </row>
    <row r="133" ht="63" customHeight="1">
      <c r="A133" s="6" t="inlineStr">
        <is>
          <t>EXT-01</t>
        </is>
      </c>
      <c r="B133" s="7" t="inlineStr">
        <is>
          <t>File format and encoding matrix</t>
        </is>
      </c>
      <c r="C133" s="8" t="inlineStr">
        <is>
          <t>TC-132</t>
        </is>
      </c>
      <c r="D133" s="7" t="inlineStr">
        <is>
          <t>P2</t>
        </is>
      </c>
      <c r="E133" s="7" t="inlineStr">
        <is>
          <t>XLSX with dates and times</t>
        </is>
      </c>
      <c r="F133" s="7" t="inlineStr">
        <is>
          <t>Workbook contains date, time and timezone-like values.</t>
        </is>
      </c>
      <c r="G133" s="7" t="inlineStr">
        <is>
          <t>Preview, compare and export.</t>
        </is>
      </c>
      <c r="H133" s="7" t="inlineStr">
        <is>
          <t>Dates are interpreted consistently; timezone/format differences are visible.</t>
        </is>
      </c>
      <c r="I133" s="7" t="inlineStr">
        <is>
          <t>Not executed — record observed result during execution.</t>
        </is>
      </c>
      <c r="J133" s="5" t="inlineStr">
        <is>
          <t>Not Run</t>
        </is>
      </c>
      <c r="K133" s="7" t="inlineStr">
        <is>
          <t>Not captured — attach screenshot path or evidence link after execution.</t>
        </is>
      </c>
    </row>
    <row r="134" ht="63" customHeight="1">
      <c r="A134" s="2" t="inlineStr">
        <is>
          <t>EXT-01</t>
        </is>
      </c>
      <c r="B134" s="3" t="inlineStr">
        <is>
          <t>File format and encoding matrix</t>
        </is>
      </c>
      <c r="C134" s="4" t="inlineStr">
        <is>
          <t>TC-133</t>
        </is>
      </c>
      <c r="D134" s="3" t="inlineStr">
        <is>
          <t>P2</t>
        </is>
      </c>
      <c r="E134" s="3" t="inlineStr">
        <is>
          <t>XLSX with formatted numeric cells</t>
        </is>
      </c>
      <c r="F134" s="3" t="inlineStr">
        <is>
          <t>Numbers have display formatting such as leading zeros or currency.</t>
        </is>
      </c>
      <c r="G134" s="3" t="inlineStr">
        <is>
          <t>Preview and compare.</t>
        </is>
      </c>
      <c r="H134" s="3" t="inlineStr">
        <is>
          <t>Comparison semantics for stored value versus display format are documented.</t>
        </is>
      </c>
      <c r="I134" s="3" t="inlineStr">
        <is>
          <t>Not executed — record observed result during execution.</t>
        </is>
      </c>
      <c r="J134" s="5" t="inlineStr">
        <is>
          <t>Not Run</t>
        </is>
      </c>
      <c r="K134" s="3" t="inlineStr">
        <is>
          <t>Not captured — attach screenshot path or evidence link after execution.</t>
        </is>
      </c>
    </row>
    <row r="135" ht="63" customHeight="1">
      <c r="A135" s="6" t="inlineStr">
        <is>
          <t>EXT-01</t>
        </is>
      </c>
      <c r="B135" s="7" t="inlineStr">
        <is>
          <t>File format and encoding matrix</t>
        </is>
      </c>
      <c r="C135" s="8" t="inlineStr">
        <is>
          <t>TC-134</t>
        </is>
      </c>
      <c r="D135" s="7" t="inlineStr">
        <is>
          <t>P2</t>
        </is>
      </c>
      <c r="E135" s="7" t="inlineStr">
        <is>
          <t>XLSX with merged cells</t>
        </is>
      </c>
      <c r="F135" s="7" t="inlineStr">
        <is>
          <t>Workbook contains merged header/data cells.</t>
        </is>
      </c>
      <c r="G135" s="7" t="inlineStr">
        <is>
          <t>Upload and preview.</t>
        </is>
      </c>
      <c r="H135" s="7" t="inlineStr">
        <is>
          <t>Merged-cell behavior is controlled and understandable.</t>
        </is>
      </c>
      <c r="I135" s="7" t="inlineStr">
        <is>
          <t>Not executed — record observed result during execution.</t>
        </is>
      </c>
      <c r="J135" s="5" t="inlineStr">
        <is>
          <t>Not Run</t>
        </is>
      </c>
      <c r="K135" s="7" t="inlineStr">
        <is>
          <t>Not captured — attach screenshot path or evidence link after execution.</t>
        </is>
      </c>
    </row>
    <row r="136" ht="63" customHeight="1">
      <c r="A136" s="2" t="inlineStr">
        <is>
          <t>EXT-01</t>
        </is>
      </c>
      <c r="B136" s="3" t="inlineStr">
        <is>
          <t>File format and encoding matrix</t>
        </is>
      </c>
      <c r="C136" s="4" t="inlineStr">
        <is>
          <t>TC-135</t>
        </is>
      </c>
      <c r="D136" s="3" t="inlineStr">
        <is>
          <t>P1</t>
        </is>
      </c>
      <c r="E136" s="3" t="inlineStr">
        <is>
          <t>XLSX with encrypted workbook</t>
        </is>
      </c>
      <c r="F136" s="3" t="inlineStr">
        <is>
          <t>Password-protected workbook.</t>
        </is>
      </c>
      <c r="G136" s="3" t="inlineStr">
        <is>
          <t>Upload and preview.</t>
        </is>
      </c>
      <c r="H136" s="3" t="inlineStr">
        <is>
          <t>A clear unsupported/encrypted-file error is returned.</t>
        </is>
      </c>
      <c r="I136" s="3" t="inlineStr">
        <is>
          <t>Not executed — record observed result during execution.</t>
        </is>
      </c>
      <c r="J136" s="5" t="inlineStr">
        <is>
          <t>Not Run</t>
        </is>
      </c>
      <c r="K136" s="3" t="inlineStr">
        <is>
          <t>Not captured — attach screenshot path or evidence link after execution.</t>
        </is>
      </c>
    </row>
    <row r="137" ht="63" customHeight="1">
      <c r="A137" s="6" t="inlineStr">
        <is>
          <t>EXT-01</t>
        </is>
      </c>
      <c r="B137" s="7" t="inlineStr">
        <is>
          <t>File format and encoding matrix</t>
        </is>
      </c>
      <c r="C137" s="8" t="inlineStr">
        <is>
          <t>TC-136</t>
        </is>
      </c>
      <c r="D137" s="7" t="inlineStr">
        <is>
          <t>P1</t>
        </is>
      </c>
      <c r="E137" s="7" t="inlineStr">
        <is>
          <t>Corrupt XLSX zip container</t>
        </is>
      </c>
      <c r="F137" s="7" t="inlineStr">
        <is>
          <t>Truncated or invalid XLSX archive.</t>
        </is>
      </c>
      <c r="G137" s="7" t="inlineStr">
        <is>
          <t>Upload to preview.</t>
        </is>
      </c>
      <c r="H137" s="7" t="inlineStr">
        <is>
          <t>Controlled parse error; server remains healthy.</t>
        </is>
      </c>
      <c r="I137" s="7" t="inlineStr">
        <is>
          <t>Not executed — record observed result during execution.</t>
        </is>
      </c>
      <c r="J137" s="5" t="inlineStr">
        <is>
          <t>Not Run</t>
        </is>
      </c>
      <c r="K137" s="7" t="inlineStr">
        <is>
          <t>Not captured — attach screenshot path or evidence link after execution.</t>
        </is>
      </c>
    </row>
    <row r="138" ht="63" customHeight="1">
      <c r="A138" s="2" t="inlineStr">
        <is>
          <t>EXT-01</t>
        </is>
      </c>
      <c r="B138" s="3" t="inlineStr">
        <is>
          <t>File format and encoding matrix</t>
        </is>
      </c>
      <c r="C138" s="4" t="inlineStr">
        <is>
          <t>TC-137</t>
        </is>
      </c>
      <c r="D138" s="3" t="inlineStr">
        <is>
          <t>P1</t>
        </is>
      </c>
      <c r="E138" s="3" t="inlineStr">
        <is>
          <t>Corrupt legacy XLS</t>
        </is>
      </c>
      <c r="F138" s="3" t="inlineStr">
        <is>
          <t>Invalid binary workbook with .xls extension.</t>
        </is>
      </c>
      <c r="G138" s="3" t="inlineStr">
        <is>
          <t>Upload to preview.</t>
        </is>
      </c>
      <c r="H138" s="3" t="inlineStr">
        <is>
          <t>Controlled error; no unhandled server exception.</t>
        </is>
      </c>
      <c r="I138" s="3" t="inlineStr">
        <is>
          <t>Not executed — record observed result during execution.</t>
        </is>
      </c>
      <c r="J138" s="5" t="inlineStr">
        <is>
          <t>Not Run</t>
        </is>
      </c>
      <c r="K138" s="3" t="inlineStr">
        <is>
          <t>Not captured — attach screenshot path or evidence link after execution.</t>
        </is>
      </c>
    </row>
    <row r="139" ht="63" customHeight="1">
      <c r="A139" s="6" t="inlineStr">
        <is>
          <t>EXT-02</t>
        </is>
      </c>
      <c r="B139" s="7" t="inlineStr">
        <is>
          <t>CSV schema and row-shape edge cases</t>
        </is>
      </c>
      <c r="C139" s="8" t="inlineStr">
        <is>
          <t>TC-138</t>
        </is>
      </c>
      <c r="D139" s="7" t="inlineStr">
        <is>
          <t>P1</t>
        </is>
      </c>
      <c r="E139" s="7" t="inlineStr">
        <is>
          <t>Different column ordering</t>
        </is>
      </c>
      <c r="F139" s="7" t="inlineStr">
        <is>
          <t>Same columns arranged in different orders.</t>
        </is>
      </c>
      <c r="G139" s="7" t="inlineStr">
        <is>
          <t>Compare source and target.</t>
        </is>
      </c>
      <c r="H139" s="7" t="inlineStr">
        <is>
          <t>Columns match by name and rows reconcile independent of order.</t>
        </is>
      </c>
      <c r="I139" s="7" t="inlineStr">
        <is>
          <t>Not executed — record observed result during execution.</t>
        </is>
      </c>
      <c r="J139" s="5" t="inlineStr">
        <is>
          <t>Not Run</t>
        </is>
      </c>
      <c r="K139" s="7" t="inlineStr">
        <is>
          <t>Not captured — attach screenshot path or evidence link after execution.</t>
        </is>
      </c>
    </row>
    <row r="140" ht="63" customHeight="1">
      <c r="A140" s="2" t="inlineStr">
        <is>
          <t>EXT-02</t>
        </is>
      </c>
      <c r="B140" s="3" t="inlineStr">
        <is>
          <t>CSV schema and row-shape edge cases</t>
        </is>
      </c>
      <c r="C140" s="4" t="inlineStr">
        <is>
          <t>TC-139</t>
        </is>
      </c>
      <c r="D140" s="3" t="inlineStr">
        <is>
          <t>P1</t>
        </is>
      </c>
      <c r="E140" s="3" t="inlineStr">
        <is>
          <t>Extra source column</t>
        </is>
      </c>
      <c r="F140" s="3" t="inlineStr">
        <is>
          <t>Source has one non-key column absent in target.</t>
        </is>
      </c>
      <c r="G140" s="3" t="inlineStr">
        <is>
          <t>Compare shared keys.</t>
        </is>
      </c>
      <c r="H140" s="3" t="inlineStr">
        <is>
          <t>Extra column is reported as a missing-column difference.</t>
        </is>
      </c>
      <c r="I140" s="3" t="inlineStr">
        <is>
          <t>Not executed — record observed result during execution.</t>
        </is>
      </c>
      <c r="J140" s="5" t="inlineStr">
        <is>
          <t>Not Run</t>
        </is>
      </c>
      <c r="K140" s="3" t="inlineStr">
        <is>
          <t>Not captured — attach screenshot path or evidence link after execution.</t>
        </is>
      </c>
    </row>
    <row r="141" ht="63" customHeight="1">
      <c r="A141" s="6" t="inlineStr">
        <is>
          <t>EXT-02</t>
        </is>
      </c>
      <c r="B141" s="7" t="inlineStr">
        <is>
          <t>CSV schema and row-shape edge cases</t>
        </is>
      </c>
      <c r="C141" s="8" t="inlineStr">
        <is>
          <t>TC-140</t>
        </is>
      </c>
      <c r="D141" s="7" t="inlineStr">
        <is>
          <t>P1</t>
        </is>
      </c>
      <c r="E141" s="7" t="inlineStr">
        <is>
          <t>Extra target column</t>
        </is>
      </c>
      <c r="F141" s="7" t="inlineStr">
        <is>
          <t>Target has one non-key column absent in source.</t>
        </is>
      </c>
      <c r="G141" s="7" t="inlineStr">
        <is>
          <t>Compare shared keys.</t>
        </is>
      </c>
      <c r="H141" s="7" t="inlineStr">
        <is>
          <t>Target-only column is reported as a missing-column difference.</t>
        </is>
      </c>
      <c r="I141" s="7" t="inlineStr">
        <is>
          <t>Not executed — record observed result during execution.</t>
        </is>
      </c>
      <c r="J141" s="5" t="inlineStr">
        <is>
          <t>Not Run</t>
        </is>
      </c>
      <c r="K141" s="7" t="inlineStr">
        <is>
          <t>Not captured — attach screenshot path or evidence link after execution.</t>
        </is>
      </c>
    </row>
    <row r="142" ht="63" customHeight="1">
      <c r="A142" s="2" t="inlineStr">
        <is>
          <t>EXT-02</t>
        </is>
      </c>
      <c r="B142" s="3" t="inlineStr">
        <is>
          <t>CSV schema and row-shape edge cases</t>
        </is>
      </c>
      <c r="C142" s="4" t="inlineStr">
        <is>
          <t>TC-141</t>
        </is>
      </c>
      <c r="D142" s="3" t="inlineStr">
        <is>
          <t>P1</t>
        </is>
      </c>
      <c r="E142" s="3" t="inlineStr">
        <is>
          <t>No non-key columns</t>
        </is>
      </c>
      <c r="F142" s="3" t="inlineStr">
        <is>
          <t>Both files contain only the selected primary key.</t>
        </is>
      </c>
      <c r="G142" s="3" t="inlineStr">
        <is>
          <t>Compare.</t>
        </is>
      </c>
      <c r="H142" s="3" t="inlineStr">
        <is>
          <t>All shared records match; zero mismatch cells.</t>
        </is>
      </c>
      <c r="I142" s="3" t="inlineStr">
        <is>
          <t>Not executed — record observed result during execution.</t>
        </is>
      </c>
      <c r="J142" s="5" t="inlineStr">
        <is>
          <t>Not Run</t>
        </is>
      </c>
      <c r="K142" s="3" t="inlineStr">
        <is>
          <t>Not captured — attach screenshot path or evidence link after execution.</t>
        </is>
      </c>
    </row>
    <row r="143" ht="63" customHeight="1">
      <c r="A143" s="6" t="inlineStr">
        <is>
          <t>EXT-02</t>
        </is>
      </c>
      <c r="B143" s="7" t="inlineStr">
        <is>
          <t>CSV schema and row-shape edge cases</t>
        </is>
      </c>
      <c r="C143" s="8" t="inlineStr">
        <is>
          <t>TC-142</t>
        </is>
      </c>
      <c r="D143" s="7" t="inlineStr">
        <is>
          <t>P1</t>
        </is>
      </c>
      <c r="E143" s="7" t="inlineStr">
        <is>
          <t>Header-only files</t>
        </is>
      </c>
      <c r="F143" s="7" t="inlineStr">
        <is>
          <t>Both files contain shared headers but no data rows.</t>
        </is>
      </c>
      <c r="G143" s="7" t="inlineStr">
        <is>
          <t>Preview and compare.</t>
        </is>
      </c>
      <c r="H143" s="7" t="inlineStr">
        <is>
          <t>Empty dataset handled without crash; zero total records.</t>
        </is>
      </c>
      <c r="I143" s="7" t="inlineStr">
        <is>
          <t>Not executed — record observed result during execution.</t>
        </is>
      </c>
      <c r="J143" s="5" t="inlineStr">
        <is>
          <t>Not Run</t>
        </is>
      </c>
      <c r="K143" s="7" t="inlineStr">
        <is>
          <t>Not captured — attach screenshot path or evidence link after execution.</t>
        </is>
      </c>
    </row>
    <row r="144" ht="63" customHeight="1">
      <c r="A144" s="2" t="inlineStr">
        <is>
          <t>EXT-02</t>
        </is>
      </c>
      <c r="B144" s="3" t="inlineStr">
        <is>
          <t>CSV schema and row-shape edge cases</t>
        </is>
      </c>
      <c r="C144" s="4" t="inlineStr">
        <is>
          <t>TC-143</t>
        </is>
      </c>
      <c r="D144" s="3" t="inlineStr">
        <is>
          <t>P1</t>
        </is>
      </c>
      <c r="E144" s="3" t="inlineStr">
        <is>
          <t>Completely empty file</t>
        </is>
      </c>
      <c r="F144" s="3" t="inlineStr">
        <is>
          <t>Zero-byte CSV or TXT.</t>
        </is>
      </c>
      <c r="G144" s="3" t="inlineStr">
        <is>
          <t>Upload.</t>
        </is>
      </c>
      <c r="H144" s="3" t="inlineStr">
        <is>
          <t>Clear empty-file validation; not a successful empty dataset.</t>
        </is>
      </c>
      <c r="I144" s="3" t="inlineStr">
        <is>
          <t>Not executed — record observed result during execution.</t>
        </is>
      </c>
      <c r="J144" s="5" t="inlineStr">
        <is>
          <t>Not Run</t>
        </is>
      </c>
      <c r="K144" s="3" t="inlineStr">
        <is>
          <t>Not captured — attach screenshot path or evidence link after execution.</t>
        </is>
      </c>
    </row>
    <row r="145" ht="63" customHeight="1">
      <c r="A145" s="6" t="inlineStr">
        <is>
          <t>EXT-02</t>
        </is>
      </c>
      <c r="B145" s="7" t="inlineStr">
        <is>
          <t>CSV schema and row-shape edge cases</t>
        </is>
      </c>
      <c r="C145" s="8" t="inlineStr">
        <is>
          <t>TC-144</t>
        </is>
      </c>
      <c r="D145" s="7" t="inlineStr">
        <is>
          <t>P2</t>
        </is>
      </c>
      <c r="E145" s="7" t="inlineStr">
        <is>
          <t>Short row has missing trailing fields</t>
        </is>
      </c>
      <c r="F145" s="7" t="inlineStr">
        <is>
          <t>CSV row has fewer cells than header.</t>
        </is>
      </c>
      <c r="G145" s="7" t="inlineStr">
        <is>
          <t>Upload and compare.</t>
        </is>
      </c>
      <c r="H145" s="7" t="inlineStr">
        <is>
          <t>Missing cells are treated consistently as null/blank or rejected clearly.</t>
        </is>
      </c>
      <c r="I145" s="7" t="inlineStr">
        <is>
          <t>Not executed — record observed result during execution.</t>
        </is>
      </c>
      <c r="J145" s="5" t="inlineStr">
        <is>
          <t>Not Run</t>
        </is>
      </c>
      <c r="K145" s="7" t="inlineStr">
        <is>
          <t>Not captured — attach screenshot path or evidence link after execution.</t>
        </is>
      </c>
    </row>
    <row r="146" ht="63" customHeight="1">
      <c r="A146" s="2" t="inlineStr">
        <is>
          <t>EXT-02</t>
        </is>
      </c>
      <c r="B146" s="3" t="inlineStr">
        <is>
          <t>CSV schema and row-shape edge cases</t>
        </is>
      </c>
      <c r="C146" s="4" t="inlineStr">
        <is>
          <t>TC-145</t>
        </is>
      </c>
      <c r="D146" s="3" t="inlineStr">
        <is>
          <t>P2</t>
        </is>
      </c>
      <c r="E146" s="3" t="inlineStr">
        <is>
          <t>Long row has extra fields</t>
        </is>
      </c>
      <c r="F146" s="3" t="inlineStr">
        <is>
          <t>CSV row has more cells than header.</t>
        </is>
      </c>
      <c r="G146" s="3" t="inlineStr">
        <is>
          <t>Upload and preview.</t>
        </is>
      </c>
      <c r="H146" s="3" t="inlineStr">
        <is>
          <t>Extra fields are not silently misaligned; clear validation or documented behavior.</t>
        </is>
      </c>
      <c r="I146" s="3" t="inlineStr">
        <is>
          <t>Not executed — record observed result during execution.</t>
        </is>
      </c>
      <c r="J146" s="5" t="inlineStr">
        <is>
          <t>Not Run</t>
        </is>
      </c>
      <c r="K146" s="3" t="inlineStr">
        <is>
          <t>Not captured — attach screenshot path or evidence link after execution.</t>
        </is>
      </c>
    </row>
    <row r="147" ht="63" customHeight="1">
      <c r="A147" s="6" t="inlineStr">
        <is>
          <t>EXT-02</t>
        </is>
      </c>
      <c r="B147" s="7" t="inlineStr">
        <is>
          <t>CSV schema and row-shape edge cases</t>
        </is>
      </c>
      <c r="C147" s="8" t="inlineStr">
        <is>
          <t>TC-146</t>
        </is>
      </c>
      <c r="D147" s="7" t="inlineStr">
        <is>
          <t>P2</t>
        </is>
      </c>
      <c r="E147" s="7" t="inlineStr">
        <is>
          <t>Whitespace around header labels</t>
        </is>
      </c>
      <c r="F147" s="7" t="inlineStr">
        <is>
          <t>Headers have leading/trailing whitespace.</t>
        </is>
      </c>
      <c r="G147" s="7" t="inlineStr">
        <is>
          <t>Upload both sides.</t>
        </is>
      </c>
      <c r="H147" s="7" t="inlineStr">
        <is>
          <t>Header normalization behavior is clear; key selection does not fail ambiguously.</t>
        </is>
      </c>
      <c r="I147" s="7" t="inlineStr">
        <is>
          <t>Not executed — record observed result during execution.</t>
        </is>
      </c>
      <c r="J147" s="5" t="inlineStr">
        <is>
          <t>Not Run</t>
        </is>
      </c>
      <c r="K147" s="7" t="inlineStr">
        <is>
          <t>Not captured — attach screenshot path or evidence link after execution.</t>
        </is>
      </c>
    </row>
    <row r="148" ht="63" customHeight="1">
      <c r="A148" s="2" t="inlineStr">
        <is>
          <t>EXT-02</t>
        </is>
      </c>
      <c r="B148" s="3" t="inlineStr">
        <is>
          <t>CSV schema and row-shape edge cases</t>
        </is>
      </c>
      <c r="C148" s="4" t="inlineStr">
        <is>
          <t>TC-147</t>
        </is>
      </c>
      <c r="D148" s="3" t="inlineStr">
        <is>
          <t>P2</t>
        </is>
      </c>
      <c r="E148" s="3" t="inlineStr">
        <is>
          <t>Whitespace around key values</t>
        </is>
      </c>
      <c r="F148" s="3" t="inlineStr">
        <is>
          <t>Same keys have incidental leading/trailing whitespace.</t>
        </is>
      </c>
      <c r="G148" s="3" t="inlineStr">
        <is>
          <t>Compare.</t>
        </is>
      </c>
      <c r="H148" s="3" t="inlineStr">
        <is>
          <t>Key trimming behavior is consistent and documented.</t>
        </is>
      </c>
      <c r="I148" s="3" t="inlineStr">
        <is>
          <t>Not executed — record observed result during execution.</t>
        </is>
      </c>
      <c r="J148" s="5" t="inlineStr">
        <is>
          <t>Not Run</t>
        </is>
      </c>
      <c r="K148" s="3" t="inlineStr">
        <is>
          <t>Not captured — attach screenshot path or evidence link after execution.</t>
        </is>
      </c>
    </row>
    <row r="149" ht="63" customHeight="1">
      <c r="A149" s="6" t="inlineStr">
        <is>
          <t>EXT-02</t>
        </is>
      </c>
      <c r="B149" s="7" t="inlineStr">
        <is>
          <t>CSV schema and row-shape edge cases</t>
        </is>
      </c>
      <c r="C149" s="8" t="inlineStr">
        <is>
          <t>TC-148</t>
        </is>
      </c>
      <c r="D149" s="7" t="inlineStr">
        <is>
          <t>P2</t>
        </is>
      </c>
      <c r="E149" s="7" t="inlineStr">
        <is>
          <t>Internal whitespace in key values</t>
        </is>
      </c>
      <c r="F149" s="7" t="inlineStr">
        <is>
          <t>Keys differ only by internal whitespace.</t>
        </is>
      </c>
      <c r="G149" s="7" t="inlineStr">
        <is>
          <t>Compare.</t>
        </is>
      </c>
      <c r="H149" s="7" t="inlineStr">
        <is>
          <t>Key normalization behavior is explicit and does not accidentally merge distinct keys.</t>
        </is>
      </c>
      <c r="I149" s="7" t="inlineStr">
        <is>
          <t>Not executed — record observed result during execution.</t>
        </is>
      </c>
      <c r="J149" s="5" t="inlineStr">
        <is>
          <t>Not Run</t>
        </is>
      </c>
      <c r="K149" s="7" t="inlineStr">
        <is>
          <t>Not captured — attach screenshot path or evidence link after execution.</t>
        </is>
      </c>
    </row>
    <row r="150" ht="63" customHeight="1">
      <c r="A150" s="2" t="inlineStr">
        <is>
          <t>EXT-02</t>
        </is>
      </c>
      <c r="B150" s="3" t="inlineStr">
        <is>
          <t>CSV schema and row-shape edge cases</t>
        </is>
      </c>
      <c r="C150" s="4" t="inlineStr">
        <is>
          <t>TC-149</t>
        </is>
      </c>
      <c r="D150" s="3" t="inlineStr">
        <is>
          <t>P1</t>
        </is>
      </c>
      <c r="E150" s="3" t="inlineStr">
        <is>
          <t>Case-different key values</t>
        </is>
      </c>
      <c r="F150" s="3" t="inlineStr">
        <is>
          <t>Keys differ only in letter case.</t>
        </is>
      </c>
      <c r="G150" s="3" t="inlineStr">
        <is>
          <t>Compare.</t>
        </is>
      </c>
      <c r="H150" s="3" t="inlineStr">
        <is>
          <t>Key comparison behavior is defined separately from value ignore-case setting.</t>
        </is>
      </c>
      <c r="I150" s="3" t="inlineStr">
        <is>
          <t>Not executed — record observed result during execution.</t>
        </is>
      </c>
      <c r="J150" s="5" t="inlineStr">
        <is>
          <t>Not Run</t>
        </is>
      </c>
      <c r="K150" s="3" t="inlineStr">
        <is>
          <t>Not captured — attach screenshot path or evidence link after execution.</t>
        </is>
      </c>
    </row>
    <row r="151" ht="63" customHeight="1">
      <c r="A151" s="6" t="inlineStr">
        <is>
          <t>EXT-02</t>
        </is>
      </c>
      <c r="B151" s="7" t="inlineStr">
        <is>
          <t>CSV schema and row-shape edge cases</t>
        </is>
      </c>
      <c r="C151" s="8" t="inlineStr">
        <is>
          <t>TC-150</t>
        </is>
      </c>
      <c r="D151" s="7" t="inlineStr">
        <is>
          <t>P1</t>
        </is>
      </c>
      <c r="E151" s="7" t="inlineStr">
        <is>
          <t>Blank null tokens</t>
        </is>
      </c>
      <c r="F151" s="7" t="inlineStr">
        <is>
          <t>Inputs use empty string, NA, NULL, null and NaN-like tokens.</t>
        </is>
      </c>
      <c r="G151" s="7" t="inlineStr">
        <is>
          <t>Compare with null option off and on.</t>
        </is>
      </c>
      <c r="H151" s="7" t="inlineStr">
        <is>
          <t>Pandas null parsing and ignore-null semantics produce defined, verified results.</t>
        </is>
      </c>
      <c r="I151" s="7" t="inlineStr">
        <is>
          <t>Not executed — record observed result during execution.</t>
        </is>
      </c>
      <c r="J151" s="5" t="inlineStr">
        <is>
          <t>Not Run</t>
        </is>
      </c>
      <c r="K151" s="7" t="inlineStr">
        <is>
          <t>Not captured — attach screenshot path or evidence link after execution.</t>
        </is>
      </c>
    </row>
    <row r="152" ht="63" customHeight="1">
      <c r="A152" s="2" t="inlineStr">
        <is>
          <t>EXT-02</t>
        </is>
      </c>
      <c r="B152" s="3" t="inlineStr">
        <is>
          <t>CSV schema and row-shape edge cases</t>
        </is>
      </c>
      <c r="C152" s="4" t="inlineStr">
        <is>
          <t>TC-151</t>
        </is>
      </c>
      <c r="D152" s="3" t="inlineStr">
        <is>
          <t>P2</t>
        </is>
      </c>
      <c r="E152" s="3" t="inlineStr">
        <is>
          <t>Literal string NA</t>
        </is>
      </c>
      <c r="F152" s="3" t="inlineStr">
        <is>
          <t>A legitimate business value is exactly NA.</t>
        </is>
      </c>
      <c r="G152" s="3" t="inlineStr">
        <is>
          <t>Preview and compare.</t>
        </is>
      </c>
      <c r="H152" s="3" t="inlineStr">
        <is>
          <t>Literal value is not unexpectedly collapsed to null, or behavior is explicitly documented.</t>
        </is>
      </c>
      <c r="I152" s="3" t="inlineStr">
        <is>
          <t>Not executed — record observed result during execution.</t>
        </is>
      </c>
      <c r="J152" s="5" t="inlineStr">
        <is>
          <t>Not Run</t>
        </is>
      </c>
      <c r="K152" s="3" t="inlineStr">
        <is>
          <t>Not captured — attach screenshot path or evidence link after execution.</t>
        </is>
      </c>
    </row>
    <row r="153" ht="63" customHeight="1">
      <c r="A153" s="6" t="inlineStr">
        <is>
          <t>EXT-02</t>
        </is>
      </c>
      <c r="B153" s="7" t="inlineStr">
        <is>
          <t>CSV schema and row-shape edge cases</t>
        </is>
      </c>
      <c r="C153" s="8" t="inlineStr">
        <is>
          <t>TC-152</t>
        </is>
      </c>
      <c r="D153" s="7" t="inlineStr">
        <is>
          <t>P2</t>
        </is>
      </c>
      <c r="E153" s="7" t="inlineStr">
        <is>
          <t>Literal string NULL</t>
        </is>
      </c>
      <c r="F153" s="7" t="inlineStr">
        <is>
          <t>A legitimate business value is exactly NULL.</t>
        </is>
      </c>
      <c r="G153" s="7" t="inlineStr">
        <is>
          <t>Preview and compare.</t>
        </is>
      </c>
      <c r="H153" s="7" t="inlineStr">
        <is>
          <t>Literal value is preserved or documented as a null token.</t>
        </is>
      </c>
      <c r="I153" s="7" t="inlineStr">
        <is>
          <t>Not executed — record observed result during execution.</t>
        </is>
      </c>
      <c r="J153" s="5" t="inlineStr">
        <is>
          <t>Not Run</t>
        </is>
      </c>
      <c r="K153" s="7" t="inlineStr">
        <is>
          <t>Not captured — attach screenshot path or evidence link after execution.</t>
        </is>
      </c>
    </row>
    <row r="154" ht="63" customHeight="1">
      <c r="A154" s="2" t="inlineStr">
        <is>
          <t>EXT-02</t>
        </is>
      </c>
      <c r="B154" s="3" t="inlineStr">
        <is>
          <t>CSV schema and row-shape edge cases</t>
        </is>
      </c>
      <c r="C154" s="4" t="inlineStr">
        <is>
          <t>TC-153</t>
        </is>
      </c>
      <c r="D154" s="3" t="inlineStr">
        <is>
          <t>P2</t>
        </is>
      </c>
      <c r="E154" s="3" t="inlineStr">
        <is>
          <t>Zero and false values</t>
        </is>
      </c>
      <c r="F154" s="3" t="inlineStr">
        <is>
          <t>Cells contain 0, 0.0, False and string equivalents.</t>
        </is>
      </c>
      <c r="G154" s="3" t="inlineStr">
        <is>
          <t>Compare.</t>
        </is>
      </c>
      <c r="H154" s="3" t="inlineStr">
        <is>
          <t>Falsy-but-valid values are not treated as blank.</t>
        </is>
      </c>
      <c r="I154" s="3" t="inlineStr">
        <is>
          <t>Not executed — record observed result during execution.</t>
        </is>
      </c>
      <c r="J154" s="5" t="inlineStr">
        <is>
          <t>Not Run</t>
        </is>
      </c>
      <c r="K154" s="3" t="inlineStr">
        <is>
          <t>Not captured — attach screenshot path or evidence link after execution.</t>
        </is>
      </c>
    </row>
    <row r="155" ht="63" customHeight="1">
      <c r="A155" s="6" t="inlineStr">
        <is>
          <t>EXT-02</t>
        </is>
      </c>
      <c r="B155" s="7" t="inlineStr">
        <is>
          <t>CSV schema and row-shape edge cases</t>
        </is>
      </c>
      <c r="C155" s="8" t="inlineStr">
        <is>
          <t>TC-154</t>
        </is>
      </c>
      <c r="D155" s="7" t="inlineStr">
        <is>
          <t>P2</t>
        </is>
      </c>
      <c r="E155" s="7" t="inlineStr">
        <is>
          <t>Leading zeros in identifiers</t>
        </is>
      </c>
      <c r="F155" s="7" t="inlineStr">
        <is>
          <t>Identifiers include values such as 00017.</t>
        </is>
      </c>
      <c r="G155" s="7" t="inlineStr">
        <is>
          <t>Compare CSV and Excel representations.</t>
        </is>
      </c>
      <c r="H155" s="7" t="inlineStr">
        <is>
          <t>Leading-zero preservation behavior is defined; keys do not collide unexpectedly.</t>
        </is>
      </c>
      <c r="I155" s="7" t="inlineStr">
        <is>
          <t>Not executed — record observed result during execution.</t>
        </is>
      </c>
      <c r="J155" s="5" t="inlineStr">
        <is>
          <t>Not Run</t>
        </is>
      </c>
      <c r="K155" s="7" t="inlineStr">
        <is>
          <t>Not captured — attach screenshot path or evidence link after execution.</t>
        </is>
      </c>
    </row>
    <row r="156" ht="63" customHeight="1">
      <c r="A156" s="2" t="inlineStr">
        <is>
          <t>EXT-02</t>
        </is>
      </c>
      <c r="B156" s="3" t="inlineStr">
        <is>
          <t>CSV schema and row-shape edge cases</t>
        </is>
      </c>
      <c r="C156" s="4" t="inlineStr">
        <is>
          <t>TC-155</t>
        </is>
      </c>
      <c r="D156" s="3" t="inlineStr">
        <is>
          <t>P2</t>
        </is>
      </c>
      <c r="E156" s="3" t="inlineStr">
        <is>
          <t>Very long cell value</t>
        </is>
      </c>
      <c r="F156" s="3" t="inlineStr">
        <is>
          <t>A cell contains a large text value.</t>
        </is>
      </c>
      <c r="G156" s="3" t="inlineStr">
        <is>
          <t>Preview, compare and export.</t>
        </is>
      </c>
      <c r="H156" s="3" t="inlineStr">
        <is>
          <t>Value is handled without truncation in comparison; UI truncation is safe.</t>
        </is>
      </c>
      <c r="I156" s="3" t="inlineStr">
        <is>
          <t>Not executed — record observed result during execution.</t>
        </is>
      </c>
      <c r="J156" s="5" t="inlineStr">
        <is>
          <t>Not Run</t>
        </is>
      </c>
      <c r="K156" s="3" t="inlineStr">
        <is>
          <t>Not captured — attach screenshot path or evidence link after execution.</t>
        </is>
      </c>
    </row>
    <row r="157" ht="63" customHeight="1">
      <c r="A157" s="6" t="inlineStr">
        <is>
          <t>EXT-02</t>
        </is>
      </c>
      <c r="B157" s="7" t="inlineStr">
        <is>
          <t>CSV schema and row-shape edge cases</t>
        </is>
      </c>
      <c r="C157" s="8" t="inlineStr">
        <is>
          <t>TC-156</t>
        </is>
      </c>
      <c r="D157" s="7" t="inlineStr">
        <is>
          <t>P2</t>
        </is>
      </c>
      <c r="E157" s="7" t="inlineStr">
        <is>
          <t>Cell contains HTML or script-like text</t>
        </is>
      </c>
      <c r="F157" s="7" t="inlineStr">
        <is>
          <t>Data contains markup strings.</t>
        </is>
      </c>
      <c r="G157" s="7" t="inlineStr">
        <is>
          <t>Upload and display in preview/results.</t>
        </is>
      </c>
      <c r="H157" s="7" t="inlineStr">
        <is>
          <t>Content renders as inert text and is not executed by the browser.</t>
        </is>
      </c>
      <c r="I157" s="7" t="inlineStr">
        <is>
          <t>Not executed — record observed result during execution.</t>
        </is>
      </c>
      <c r="J157" s="5" t="inlineStr">
        <is>
          <t>Not Run</t>
        </is>
      </c>
      <c r="K157" s="7" t="inlineStr">
        <is>
          <t>Not captured — attach screenshot path or evidence link after execution.</t>
        </is>
      </c>
    </row>
    <row r="158" ht="63" customHeight="1">
      <c r="A158" s="2" t="inlineStr">
        <is>
          <t>EXT-02</t>
        </is>
      </c>
      <c r="B158" s="3" t="inlineStr">
        <is>
          <t>CSV schema and row-shape edge cases</t>
        </is>
      </c>
      <c r="C158" s="4" t="inlineStr">
        <is>
          <t>TC-157</t>
        </is>
      </c>
      <c r="D158" s="3" t="inlineStr">
        <is>
          <t>P2</t>
        </is>
      </c>
      <c r="E158" s="3" t="inlineStr">
        <is>
          <t>Cell contains formula-like text</t>
        </is>
      </c>
      <c r="F158" s="3" t="inlineStr">
        <is>
          <t>Data begins with =, +, - or @.</t>
        </is>
      </c>
      <c r="G158" s="3" t="inlineStr">
        <is>
          <t>Export CSV/XLSX and inspect downloaded file.</t>
        </is>
      </c>
      <c r="H158" s="3" t="inlineStr">
        <is>
          <t>Exports mitigate spreadsheet formula injection or document residual risk.</t>
        </is>
      </c>
      <c r="I158" s="3" t="inlineStr">
        <is>
          <t>Not executed — record observed result during execution.</t>
        </is>
      </c>
      <c r="J158" s="5" t="inlineStr">
        <is>
          <t>Not Run</t>
        </is>
      </c>
      <c r="K158" s="3" t="inlineStr">
        <is>
          <t>Not captured — attach screenshot path or evidence link after execution.</t>
        </is>
      </c>
    </row>
    <row r="159" ht="63" customHeight="1">
      <c r="A159" s="6" t="inlineStr">
        <is>
          <t>EXT-02</t>
        </is>
      </c>
      <c r="B159" s="7" t="inlineStr">
        <is>
          <t>CSV schema and row-shape edge cases</t>
        </is>
      </c>
      <c r="C159" s="8" t="inlineStr">
        <is>
          <t>TC-158</t>
        </is>
      </c>
      <c r="D159" s="7" t="inlineStr">
        <is>
          <t>P2</t>
        </is>
      </c>
      <c r="E159" s="7" t="inlineStr">
        <is>
          <t>Commas and quotes in values</t>
        </is>
      </c>
      <c r="F159" s="7" t="inlineStr">
        <is>
          <t>Cells include commas, quotes and separators.</t>
        </is>
      </c>
      <c r="G159" s="7" t="inlineStr">
        <is>
          <t>Compare and export.</t>
        </is>
      </c>
      <c r="H159" s="7" t="inlineStr">
        <is>
          <t>Values remain correctly escaped and readable.</t>
        </is>
      </c>
      <c r="I159" s="7" t="inlineStr">
        <is>
          <t>Not executed — record observed result during execution.</t>
        </is>
      </c>
      <c r="J159" s="5" t="inlineStr">
        <is>
          <t>Not Run</t>
        </is>
      </c>
      <c r="K159" s="7" t="inlineStr">
        <is>
          <t>Not captured — attach screenshot path or evidence link after execution.</t>
        </is>
      </c>
    </row>
    <row r="160" ht="63" customHeight="1">
      <c r="A160" s="2" t="inlineStr">
        <is>
          <t>EXT-02</t>
        </is>
      </c>
      <c r="B160" s="3" t="inlineStr">
        <is>
          <t>CSV schema and row-shape edge cases</t>
        </is>
      </c>
      <c r="C160" s="4" t="inlineStr">
        <is>
          <t>TC-159</t>
        </is>
      </c>
      <c r="D160" s="3" t="inlineStr">
        <is>
          <t>P2</t>
        </is>
      </c>
      <c r="E160" s="3" t="inlineStr">
        <is>
          <t>Control characters in values</t>
        </is>
      </c>
      <c r="F160" s="3" t="inlineStr">
        <is>
          <t>Values include tabs or non-printing characters.</t>
        </is>
      </c>
      <c r="G160" s="3" t="inlineStr">
        <is>
          <t>Upload, compare and export.</t>
        </is>
      </c>
      <c r="H160" s="3" t="inlineStr">
        <is>
          <t>No API crash; output is safely normalized or escaped.</t>
        </is>
      </c>
      <c r="I160" s="3" t="inlineStr">
        <is>
          <t>Not executed — record observed result during execution.</t>
        </is>
      </c>
      <c r="J160" s="5" t="inlineStr">
        <is>
          <t>Not Run</t>
        </is>
      </c>
      <c r="K160" s="3" t="inlineStr">
        <is>
          <t>Not captured — attach screenshot path or evidence link after execution.</t>
        </is>
      </c>
    </row>
    <row r="161" ht="63" customHeight="1">
      <c r="A161" s="6" t="inlineStr">
        <is>
          <t>EXT-02</t>
        </is>
      </c>
      <c r="B161" s="7" t="inlineStr">
        <is>
          <t>CSV schema and row-shape edge cases</t>
        </is>
      </c>
      <c r="C161" s="8" t="inlineStr">
        <is>
          <t>TC-160</t>
        </is>
      </c>
      <c r="D161" s="7" t="inlineStr">
        <is>
          <t>P2</t>
        </is>
      </c>
      <c r="E161" s="7" t="inlineStr">
        <is>
          <t>Very wide dataset</t>
        </is>
      </c>
      <c r="F161" s="7" t="inlineStr">
        <is>
          <t>Dataset includes hundreds or thousands of columns within upload limit.</t>
        </is>
      </c>
      <c r="G161" s="7" t="inlineStr">
        <is>
          <t>Preview and compare.</t>
        </is>
      </c>
      <c r="H161" s="7" t="inlineStr">
        <is>
          <t>Controls remain usable and processing either completes within target or fails clearly.</t>
        </is>
      </c>
      <c r="I161" s="7" t="inlineStr">
        <is>
          <t>Not executed — record observed result during execution.</t>
        </is>
      </c>
      <c r="J161" s="5" t="inlineStr">
        <is>
          <t>Not Run</t>
        </is>
      </c>
      <c r="K161" s="7" t="inlineStr">
        <is>
          <t>Not captured — attach screenshot path or evidence link after execution.</t>
        </is>
      </c>
    </row>
    <row r="162" ht="63" customHeight="1">
      <c r="A162" s="2" t="inlineStr">
        <is>
          <t>EXT-02</t>
        </is>
      </c>
      <c r="B162" s="3" t="inlineStr">
        <is>
          <t>CSV schema and row-shape edge cases</t>
        </is>
      </c>
      <c r="C162" s="4" t="inlineStr">
        <is>
          <t>TC-161</t>
        </is>
      </c>
      <c r="D162" s="3" t="inlineStr">
        <is>
          <t>P2</t>
        </is>
      </c>
      <c r="E162" s="3" t="inlineStr">
        <is>
          <t>Column names differing only by case</t>
        </is>
      </c>
      <c r="F162" s="3" t="inlineStr">
        <is>
          <t>Source/target header case differs.</t>
        </is>
      </c>
      <c r="G162" s="3" t="inlineStr">
        <is>
          <t>Upload and inspect common columns.</t>
        </is>
      </c>
      <c r="H162" s="3" t="inlineStr">
        <is>
          <t>Header matching behavior is defined and not confused with value ignore-case.</t>
        </is>
      </c>
      <c r="I162" s="3" t="inlineStr">
        <is>
          <t>Not executed — record observed result during execution.</t>
        </is>
      </c>
      <c r="J162" s="5" t="inlineStr">
        <is>
          <t>Not Run</t>
        </is>
      </c>
      <c r="K162" s="3" t="inlineStr">
        <is>
          <t>Not captured — attach screenshot path or evidence link after execution.</t>
        </is>
      </c>
    </row>
    <row r="163" ht="63" customHeight="1">
      <c r="A163" s="6" t="inlineStr">
        <is>
          <t>EXT-03</t>
        </is>
      </c>
      <c r="B163" s="7" t="inlineStr">
        <is>
          <t>Primary key and composite identity boundaries</t>
        </is>
      </c>
      <c r="C163" s="8" t="inlineStr">
        <is>
          <t>TC-162</t>
        </is>
      </c>
      <c r="D163" s="7" t="inlineStr">
        <is>
          <t>P1</t>
        </is>
      </c>
      <c r="E163" s="7" t="inlineStr">
        <is>
          <t>Composite key delimiter collision attempt</t>
        </is>
      </c>
      <c r="F163" s="7" t="inlineStr">
        <is>
          <t>Key tuples include delimiter-like text in components.</t>
        </is>
      </c>
      <c r="G163" s="7" t="inlineStr">
        <is>
          <t>Compare composite-key data.</t>
        </is>
      </c>
      <c r="H163" s="7" t="inlineStr">
        <is>
          <t>Distinct tuples remain distinct; internal composite encoding is collision-safe.</t>
        </is>
      </c>
      <c r="I163" s="7" t="inlineStr">
        <is>
          <t>Not executed — record observed result during execution.</t>
        </is>
      </c>
      <c r="J163" s="5" t="inlineStr">
        <is>
          <t>Not Run</t>
        </is>
      </c>
      <c r="K163" s="7" t="inlineStr">
        <is>
          <t>Not captured — attach screenshot path or evidence link after execution.</t>
        </is>
      </c>
    </row>
    <row r="164" ht="63" customHeight="1">
      <c r="A164" s="2" t="inlineStr">
        <is>
          <t>EXT-03</t>
        </is>
      </c>
      <c r="B164" s="3" t="inlineStr">
        <is>
          <t>Primary key and composite identity boundaries</t>
        </is>
      </c>
      <c r="C164" s="4" t="inlineStr">
        <is>
          <t>TC-163</t>
        </is>
      </c>
      <c r="D164" s="3" t="inlineStr">
        <is>
          <t>P1</t>
        </is>
      </c>
      <c r="E164" s="3" t="inlineStr">
        <is>
          <t>Composite key with null component</t>
        </is>
      </c>
      <c r="F164" s="3" t="inlineStr">
        <is>
          <t>One component of selected composite key is null.</t>
        </is>
      </c>
      <c r="G164" s="3" t="inlineStr">
        <is>
          <t>Compare.</t>
        </is>
      </c>
      <c r="H164" s="3" t="inlineStr">
        <is>
          <t>Blank-key rule rejects missing component or documented behavior is applied consistently.</t>
        </is>
      </c>
      <c r="I164" s="3" t="inlineStr">
        <is>
          <t>Not executed — record observed result during execution.</t>
        </is>
      </c>
      <c r="J164" s="5" t="inlineStr">
        <is>
          <t>Not Run</t>
        </is>
      </c>
      <c r="K164" s="3" t="inlineStr">
        <is>
          <t>Not captured — attach screenshot path or evidence link after execution.</t>
        </is>
      </c>
    </row>
    <row r="165" ht="63" customHeight="1">
      <c r="A165" s="6" t="inlineStr">
        <is>
          <t>EXT-03</t>
        </is>
      </c>
      <c r="B165" s="7" t="inlineStr">
        <is>
          <t>Primary key and composite identity boundaries</t>
        </is>
      </c>
      <c r="C165" s="8" t="inlineStr">
        <is>
          <t>TC-164</t>
        </is>
      </c>
      <c r="D165" s="7" t="inlineStr">
        <is>
          <t>P2</t>
        </is>
      </c>
      <c r="E165" s="7" t="inlineStr">
        <is>
          <t>Composite key selection order</t>
        </is>
      </c>
      <c r="F165" s="7" t="inlineStr">
        <is>
          <t>Select same two key fields in reverse order.</t>
        </is>
      </c>
      <c r="G165" s="7" t="inlineStr">
        <is>
          <t>Run comparison in both orders.</t>
        </is>
      </c>
      <c r="H165" s="7" t="inlineStr">
        <is>
          <t>Identity result is unchanged; metadata preserves chosen order.</t>
        </is>
      </c>
      <c r="I165" s="7" t="inlineStr">
        <is>
          <t>Not executed — record observed result during execution.</t>
        </is>
      </c>
      <c r="J165" s="5" t="inlineStr">
        <is>
          <t>Not Run</t>
        </is>
      </c>
      <c r="K165" s="7" t="inlineStr">
        <is>
          <t>Not captured — attach screenshot path or evidence link after execution.</t>
        </is>
      </c>
    </row>
    <row r="166" ht="63" customHeight="1">
      <c r="A166" s="2" t="inlineStr">
        <is>
          <t>EXT-03</t>
        </is>
      </c>
      <c r="B166" s="3" t="inlineStr">
        <is>
          <t>Primary key and composite identity boundaries</t>
        </is>
      </c>
      <c r="C166" s="4" t="inlineStr">
        <is>
          <t>TC-165</t>
        </is>
      </c>
      <c r="D166" s="3" t="inlineStr">
        <is>
          <t>P2</t>
        </is>
      </c>
      <c r="E166" s="3" t="inlineStr">
        <is>
          <t>Composite key includes whitespace</t>
        </is>
      </c>
      <c r="F166" s="3" t="inlineStr">
        <is>
          <t>Composite components have whitespace variations.</t>
        </is>
      </c>
      <c r="G166" s="3" t="inlineStr">
        <is>
          <t>Compare with whitespace option toggled.</t>
        </is>
      </c>
      <c r="H166" s="3" t="inlineStr">
        <is>
          <t>Key equality follows documented key normalization, not accidental value normalization.</t>
        </is>
      </c>
      <c r="I166" s="3" t="inlineStr">
        <is>
          <t>Not executed — record observed result during execution.</t>
        </is>
      </c>
      <c r="J166" s="5" t="inlineStr">
        <is>
          <t>Not Run</t>
        </is>
      </c>
      <c r="K166" s="3" t="inlineStr">
        <is>
          <t>Not captured — attach screenshot path or evidence link after execution.</t>
        </is>
      </c>
    </row>
    <row r="167" ht="63" customHeight="1">
      <c r="A167" s="6" t="inlineStr">
        <is>
          <t>EXT-03</t>
        </is>
      </c>
      <c r="B167" s="7" t="inlineStr">
        <is>
          <t>Primary key and composite identity boundaries</t>
        </is>
      </c>
      <c r="C167" s="8" t="inlineStr">
        <is>
          <t>TC-166</t>
        </is>
      </c>
      <c r="D167" s="7" t="inlineStr">
        <is>
          <t>P1</t>
        </is>
      </c>
      <c r="E167" s="7" t="inlineStr">
        <is>
          <t>Boolean versus text key</t>
        </is>
      </c>
      <c r="F167" s="7" t="inlineStr">
        <is>
          <t>Key values True and 'True'.</t>
        </is>
      </c>
      <c r="G167" s="7" t="inlineStr">
        <is>
          <t>Compare.</t>
        </is>
      </c>
      <c r="H167" s="7" t="inlineStr">
        <is>
          <t>Type conversion behavior is defined; no unintended key collision.</t>
        </is>
      </c>
      <c r="I167" s="7" t="inlineStr">
        <is>
          <t>Not executed — record observed result during execution.</t>
        </is>
      </c>
      <c r="J167" s="5" t="inlineStr">
        <is>
          <t>Not Run</t>
        </is>
      </c>
      <c r="K167" s="7" t="inlineStr">
        <is>
          <t>Not captured — attach screenshot path or evidence link after execution.</t>
        </is>
      </c>
    </row>
    <row r="168" ht="63" customHeight="1">
      <c r="A168" s="2" t="inlineStr">
        <is>
          <t>EXT-03</t>
        </is>
      </c>
      <c r="B168" s="3" t="inlineStr">
        <is>
          <t>Primary key and composite identity boundaries</t>
        </is>
      </c>
      <c r="C168" s="4" t="inlineStr">
        <is>
          <t>TC-167</t>
        </is>
      </c>
      <c r="D168" s="3" t="inlineStr">
        <is>
          <t>P1</t>
        </is>
      </c>
      <c r="E168" s="3" t="inlineStr">
        <is>
          <t>Numeric versus text key</t>
        </is>
      </c>
      <c r="F168" s="3" t="inlineStr">
        <is>
          <t>Key values 1 and '1'.</t>
        </is>
      </c>
      <c r="G168" s="3" t="inlineStr">
        <is>
          <t>Compare.</t>
        </is>
      </c>
      <c r="H168" s="3" t="inlineStr">
        <is>
          <t>Equivalent/different identity treatment is explicit and consistent.</t>
        </is>
      </c>
      <c r="I168" s="3" t="inlineStr">
        <is>
          <t>Not executed — record observed result during execution.</t>
        </is>
      </c>
      <c r="J168" s="5" t="inlineStr">
        <is>
          <t>Not Run</t>
        </is>
      </c>
      <c r="K168" s="3" t="inlineStr">
        <is>
          <t>Not captured — attach screenshot path or evidence link after execution.</t>
        </is>
      </c>
    </row>
    <row r="169" ht="63" customHeight="1">
      <c r="A169" s="6" t="inlineStr">
        <is>
          <t>EXT-03</t>
        </is>
      </c>
      <c r="B169" s="7" t="inlineStr">
        <is>
          <t>Primary key and composite identity boundaries</t>
        </is>
      </c>
      <c r="C169" s="8" t="inlineStr">
        <is>
          <t>TC-168</t>
        </is>
      </c>
      <c r="D169" s="7" t="inlineStr">
        <is>
          <t>P2</t>
        </is>
      </c>
      <c r="E169" s="7" t="inlineStr">
        <is>
          <t>Integer/float key equivalence</t>
        </is>
      </c>
      <c r="F169" s="7" t="inlineStr">
        <is>
          <t>Key 1 represented as integer and 1.0.</t>
        </is>
      </c>
      <c r="G169" s="7" t="inlineStr">
        <is>
          <t>Compare.</t>
        </is>
      </c>
      <c r="H169" s="7" t="inlineStr">
        <is>
          <t>Equivalent values match where supported.</t>
        </is>
      </c>
      <c r="I169" s="7" t="inlineStr">
        <is>
          <t>Not executed — record observed result during execution.</t>
        </is>
      </c>
      <c r="J169" s="5" t="inlineStr">
        <is>
          <t>Not Run</t>
        </is>
      </c>
      <c r="K169" s="7" t="inlineStr">
        <is>
          <t>Not captured — attach screenshot path or evidence link after execution.</t>
        </is>
      </c>
    </row>
    <row r="170" ht="63" customHeight="1">
      <c r="A170" s="2" t="inlineStr">
        <is>
          <t>EXT-03</t>
        </is>
      </c>
      <c r="B170" s="3" t="inlineStr">
        <is>
          <t>Primary key and composite identity boundaries</t>
        </is>
      </c>
      <c r="C170" s="4" t="inlineStr">
        <is>
          <t>TC-169</t>
        </is>
      </c>
      <c r="D170" s="3" t="inlineStr">
        <is>
          <t>P2</t>
        </is>
      </c>
      <c r="E170" s="3" t="inlineStr">
        <is>
          <t>Scientific-notation numeric key</t>
        </is>
      </c>
      <c r="F170" s="3" t="inlineStr">
        <is>
          <t>Large numeric identifier parsed using scientific notation.</t>
        </is>
      </c>
      <c r="G170" s="3" t="inlineStr">
        <is>
          <t>Compare.</t>
        </is>
      </c>
      <c r="H170" s="3" t="inlineStr">
        <is>
          <t>Identifiers do not lose precision or collide.</t>
        </is>
      </c>
      <c r="I170" s="3" t="inlineStr">
        <is>
          <t>Not executed — record observed result during execution.</t>
        </is>
      </c>
      <c r="J170" s="5" t="inlineStr">
        <is>
          <t>Not Run</t>
        </is>
      </c>
      <c r="K170" s="3" t="inlineStr">
        <is>
          <t>Not captured — attach screenshot path or evidence link after execution.</t>
        </is>
      </c>
    </row>
    <row r="171" ht="63" customHeight="1">
      <c r="A171" s="6" t="inlineStr">
        <is>
          <t>EXT-03</t>
        </is>
      </c>
      <c r="B171" s="7" t="inlineStr">
        <is>
          <t>Primary key and composite identity boundaries</t>
        </is>
      </c>
      <c r="C171" s="8" t="inlineStr">
        <is>
          <t>TC-170</t>
        </is>
      </c>
      <c r="D171" s="7" t="inlineStr">
        <is>
          <t>P1</t>
        </is>
      </c>
      <c r="E171" s="7" t="inlineStr">
        <is>
          <t>Very large integer key</t>
        </is>
      </c>
      <c r="F171" s="7" t="inlineStr">
        <is>
          <t>Key exceeds JavaScript safe integer and typical signed 64-bit range.</t>
        </is>
      </c>
      <c r="G171" s="7" t="inlineStr">
        <is>
          <t>Preview, compare and inspect results.</t>
        </is>
      </c>
      <c r="H171" s="7" t="inlineStr">
        <is>
          <t>Key precision is preserved end-to-end or rejected/documented safely.</t>
        </is>
      </c>
      <c r="I171" s="7" t="inlineStr">
        <is>
          <t>Not executed — record observed result during execution.</t>
        </is>
      </c>
      <c r="J171" s="5" t="inlineStr">
        <is>
          <t>Not Run</t>
        </is>
      </c>
      <c r="K171" s="7" t="inlineStr">
        <is>
          <t>Not captured — attach screenshot path or evidence link after execution.</t>
        </is>
      </c>
    </row>
    <row r="172" ht="63" customHeight="1">
      <c r="A172" s="2" t="inlineStr">
        <is>
          <t>EXT-03</t>
        </is>
      </c>
      <c r="B172" s="3" t="inlineStr">
        <is>
          <t>Primary key and composite identity boundaries</t>
        </is>
      </c>
      <c r="C172" s="4" t="inlineStr">
        <is>
          <t>TC-171</t>
        </is>
      </c>
      <c r="D172" s="3" t="inlineStr">
        <is>
          <t>P2</t>
        </is>
      </c>
      <c r="E172" s="3" t="inlineStr">
        <is>
          <t>Decimal key scale differences</t>
        </is>
      </c>
      <c r="F172" s="3" t="inlineStr">
        <is>
          <t>Keys represented as 1.0 and 1.00.</t>
        </is>
      </c>
      <c r="G172" s="3" t="inlineStr">
        <is>
          <t>Compare.</t>
        </is>
      </c>
      <c r="H172" s="3" t="inlineStr">
        <is>
          <t>Numeric key normalization is deterministic.</t>
        </is>
      </c>
      <c r="I172" s="3" t="inlineStr">
        <is>
          <t>Not executed — record observed result during execution.</t>
        </is>
      </c>
      <c r="J172" s="5" t="inlineStr">
        <is>
          <t>Not Run</t>
        </is>
      </c>
      <c r="K172" s="3" t="inlineStr">
        <is>
          <t>Not captured — attach screenshot path or evidence link after execution.</t>
        </is>
      </c>
    </row>
    <row r="173" ht="63" customHeight="1">
      <c r="A173" s="6" t="inlineStr">
        <is>
          <t>EXT-03</t>
        </is>
      </c>
      <c r="B173" s="7" t="inlineStr">
        <is>
          <t>Primary key and composite identity boundaries</t>
        </is>
      </c>
      <c r="C173" s="8" t="inlineStr">
        <is>
          <t>TC-172</t>
        </is>
      </c>
      <c r="D173" s="7" t="inlineStr">
        <is>
          <t>P2</t>
        </is>
      </c>
      <c r="E173" s="7" t="inlineStr">
        <is>
          <t>Negative and signed-zero keys</t>
        </is>
      </c>
      <c r="F173" s="7" t="inlineStr">
        <is>
          <t>Keys include -1, 0 and -0.0.</t>
        </is>
      </c>
      <c r="G173" s="7" t="inlineStr">
        <is>
          <t>Compare.</t>
        </is>
      </c>
      <c r="H173" s="7" t="inlineStr">
        <is>
          <t>Distinctness/equivalence behavior is documented and consistent.</t>
        </is>
      </c>
      <c r="I173" s="7" t="inlineStr">
        <is>
          <t>Not executed — record observed result during execution.</t>
        </is>
      </c>
      <c r="J173" s="5" t="inlineStr">
        <is>
          <t>Not Run</t>
        </is>
      </c>
      <c r="K173" s="7" t="inlineStr">
        <is>
          <t>Not captured — attach screenshot path or evidence link after execution.</t>
        </is>
      </c>
    </row>
    <row r="174" ht="63" customHeight="1">
      <c r="A174" s="2" t="inlineStr">
        <is>
          <t>EXT-03</t>
        </is>
      </c>
      <c r="B174" s="3" t="inlineStr">
        <is>
          <t>Primary key and composite identity boundaries</t>
        </is>
      </c>
      <c r="C174" s="4" t="inlineStr">
        <is>
          <t>TC-173</t>
        </is>
      </c>
      <c r="D174" s="3" t="inlineStr">
        <is>
          <t>P1</t>
        </is>
      </c>
      <c r="E174" s="3" t="inlineStr">
        <is>
          <t>Duplicate source composite key</t>
        </is>
      </c>
      <c r="F174" s="3" t="inlineStr">
        <is>
          <t>Same combination appears twice, individual columns differ.</t>
        </is>
      </c>
      <c r="G174" s="3" t="inlineStr">
        <is>
          <t>Compare using both columns as key.</t>
        </is>
      </c>
      <c r="H174" s="3" t="inlineStr">
        <is>
          <t>Duplicate composite key is rejected.</t>
        </is>
      </c>
      <c r="I174" s="3" t="inlineStr">
        <is>
          <t>Not executed — record observed result during execution.</t>
        </is>
      </c>
      <c r="J174" s="5" t="inlineStr">
        <is>
          <t>Not Run</t>
        </is>
      </c>
      <c r="K174" s="3" t="inlineStr">
        <is>
          <t>Not captured — attach screenshot path or evidence link after execution.</t>
        </is>
      </c>
    </row>
    <row r="175" ht="63" customHeight="1">
      <c r="A175" s="6" t="inlineStr">
        <is>
          <t>EXT-03</t>
        </is>
      </c>
      <c r="B175" s="7" t="inlineStr">
        <is>
          <t>Primary key and composite identity boundaries</t>
        </is>
      </c>
      <c r="C175" s="8" t="inlineStr">
        <is>
          <t>TC-174</t>
        </is>
      </c>
      <c r="D175" s="7" t="inlineStr">
        <is>
          <t>P1</t>
        </is>
      </c>
      <c r="E175" s="7" t="inlineStr">
        <is>
          <t>Duplicate target composite key</t>
        </is>
      </c>
      <c r="F175" s="7" t="inlineStr">
        <is>
          <t>Target repeats a composite combination.</t>
        </is>
      </c>
      <c r="G175" s="7" t="inlineStr">
        <is>
          <t>Compare.</t>
        </is>
      </c>
      <c r="H175" s="7" t="inlineStr">
        <is>
          <t>Duplicate composite key is rejected.</t>
        </is>
      </c>
      <c r="I175" s="7" t="inlineStr">
        <is>
          <t>Not executed — record observed result during execution.</t>
        </is>
      </c>
      <c r="J175" s="5" t="inlineStr">
        <is>
          <t>Not Run</t>
        </is>
      </c>
      <c r="K175" s="7" t="inlineStr">
        <is>
          <t>Not captured — attach screenshot path or evidence link after execution.</t>
        </is>
      </c>
    </row>
    <row r="176" ht="63" customHeight="1">
      <c r="A176" s="2" t="inlineStr">
        <is>
          <t>EXT-03</t>
        </is>
      </c>
      <c r="B176" s="3" t="inlineStr">
        <is>
          <t>Primary key and composite identity boundaries</t>
        </is>
      </c>
      <c r="C176" s="4" t="inlineStr">
        <is>
          <t>TC-175</t>
        </is>
      </c>
      <c r="D176" s="3" t="inlineStr">
        <is>
          <t>P1</t>
        </is>
      </c>
      <c r="E176" s="3" t="inlineStr">
        <is>
          <t>Single-column duplicates but composite unique</t>
        </is>
      </c>
      <c r="F176" s="3" t="inlineStr">
        <is>
          <t>Each key column alone repeats; pair is unique.</t>
        </is>
      </c>
      <c r="G176" s="3" t="inlineStr">
        <is>
          <t>Select composite key and compare.</t>
        </is>
      </c>
      <c r="H176" s="3" t="inlineStr">
        <is>
          <t>Valid composite key is accepted.</t>
        </is>
      </c>
      <c r="I176" s="3" t="inlineStr">
        <is>
          <t>Not executed — record observed result during execution.</t>
        </is>
      </c>
      <c r="J176" s="5" t="inlineStr">
        <is>
          <t>Not Run</t>
        </is>
      </c>
      <c r="K176" s="3" t="inlineStr">
        <is>
          <t>Not captured — attach screenshot path or evidence link after execution.</t>
        </is>
      </c>
    </row>
    <row r="177" ht="63" customHeight="1">
      <c r="A177" s="6" t="inlineStr">
        <is>
          <t>EXT-03</t>
        </is>
      </c>
      <c r="B177" s="7" t="inlineStr">
        <is>
          <t>Primary key and composite identity boundaries</t>
        </is>
      </c>
      <c r="C177" s="8" t="inlineStr">
        <is>
          <t>TC-176</t>
        </is>
      </c>
      <c r="D177" s="7" t="inlineStr">
        <is>
          <t>P2</t>
        </is>
      </c>
      <c r="E177" s="7" t="inlineStr">
        <is>
          <t>High-cardinality unique keys</t>
        </is>
      </c>
      <c r="F177" s="7" t="inlineStr">
        <is>
          <t>Large file has unique key for every row.</t>
        </is>
      </c>
      <c r="G177" s="7" t="inlineStr">
        <is>
          <t>Compare at representative volume.</t>
        </is>
      </c>
      <c r="H177" s="7" t="inlineStr">
        <is>
          <t>No duplicate false positives; totals correct.</t>
        </is>
      </c>
      <c r="I177" s="7" t="inlineStr">
        <is>
          <t>Not executed — record observed result during execution.</t>
        </is>
      </c>
      <c r="J177" s="5" t="inlineStr">
        <is>
          <t>Not Run</t>
        </is>
      </c>
      <c r="K177" s="7" t="inlineStr">
        <is>
          <t>Not captured — attach screenshot path or evidence link after execution.</t>
        </is>
      </c>
    </row>
    <row r="178" ht="63" customHeight="1">
      <c r="A178" s="2" t="inlineStr">
        <is>
          <t>EXT-03</t>
        </is>
      </c>
      <c r="B178" s="3" t="inlineStr">
        <is>
          <t>Primary key and composite identity boundaries</t>
        </is>
      </c>
      <c r="C178" s="4" t="inlineStr">
        <is>
          <t>TC-177</t>
        </is>
      </c>
      <c r="D178" s="3" t="inlineStr">
        <is>
          <t>P2</t>
        </is>
      </c>
      <c r="E178" s="3" t="inlineStr">
        <is>
          <t>All-null key column</t>
        </is>
      </c>
      <c r="F178" s="3" t="inlineStr">
        <is>
          <t>Every key value is null.</t>
        </is>
      </c>
      <c r="G178" s="3" t="inlineStr">
        <is>
          <t>Compare.</t>
        </is>
      </c>
      <c r="H178" s="3" t="inlineStr">
        <is>
          <t>Input rejected as empty keys; no single null-key bucket is accepted.</t>
        </is>
      </c>
      <c r="I178" s="3" t="inlineStr">
        <is>
          <t>Not executed — record observed result during execution.</t>
        </is>
      </c>
      <c r="J178" s="5" t="inlineStr">
        <is>
          <t>Not Run</t>
        </is>
      </c>
      <c r="K178" s="3" t="inlineStr">
        <is>
          <t>Not captured — attach screenshot path or evidence link after execution.</t>
        </is>
      </c>
    </row>
    <row r="179" ht="63" customHeight="1">
      <c r="A179" s="6" t="inlineStr">
        <is>
          <t>EXT-04</t>
        </is>
      </c>
      <c r="B179" s="7" t="inlineStr">
        <is>
          <t>Comparison option truth table</t>
        </is>
      </c>
      <c r="C179" s="8" t="inlineStr">
        <is>
          <t>TC-178</t>
        </is>
      </c>
      <c r="D179" s="7" t="inlineStr">
        <is>
          <t>P1</t>
        </is>
      </c>
      <c r="E179" s="7" t="inlineStr">
        <is>
          <t>Options 000 — strict baseline</t>
        </is>
      </c>
      <c r="F179" s="7" t="inlineStr">
        <is>
          <t>Data includes case, whitespace and null-vs-value differences.</t>
        </is>
      </c>
      <c r="G179" s="7" t="inlineStr">
        <is>
          <t>Run with all three options off.</t>
        </is>
      </c>
      <c r="H179" s="7" t="inlineStr">
        <is>
          <t>Every configured difference is reported according to strict baseline.</t>
        </is>
      </c>
      <c r="I179" s="7" t="inlineStr">
        <is>
          <t>Not executed — record observed result during execution.</t>
        </is>
      </c>
      <c r="J179" s="5" t="inlineStr">
        <is>
          <t>Not Run</t>
        </is>
      </c>
      <c r="K179" s="7" t="inlineStr">
        <is>
          <t>Not captured — attach screenshot path or evidence link after execution.</t>
        </is>
      </c>
    </row>
    <row r="180" ht="63" customHeight="1">
      <c r="A180" s="2" t="inlineStr">
        <is>
          <t>EXT-04</t>
        </is>
      </c>
      <c r="B180" s="3" t="inlineStr">
        <is>
          <t>Comparison option truth table</t>
        </is>
      </c>
      <c r="C180" s="4" t="inlineStr">
        <is>
          <t>TC-179</t>
        </is>
      </c>
      <c r="D180" s="3" t="inlineStr">
        <is>
          <t>P1</t>
        </is>
      </c>
      <c r="E180" s="3" t="inlineStr">
        <is>
          <t>Options 001 — ignore null only</t>
        </is>
      </c>
      <c r="F180" s="3" t="inlineStr">
        <is>
          <t>Same option fixture.</t>
        </is>
      </c>
      <c r="G180" s="3" t="inlineStr">
        <is>
          <t>Enable ignore null only.</t>
        </is>
      </c>
      <c r="H180" s="3" t="inlineStr">
        <is>
          <t>Only null-vs-value differences are suppressed.</t>
        </is>
      </c>
      <c r="I180" s="3" t="inlineStr">
        <is>
          <t>Not executed — record observed result during execution.</t>
        </is>
      </c>
      <c r="J180" s="5" t="inlineStr">
        <is>
          <t>Not Run</t>
        </is>
      </c>
      <c r="K180" s="3" t="inlineStr">
        <is>
          <t>Not captured — attach screenshot path or evidence link after execution.</t>
        </is>
      </c>
    </row>
    <row r="181" ht="63" customHeight="1">
      <c r="A181" s="6" t="inlineStr">
        <is>
          <t>EXT-04</t>
        </is>
      </c>
      <c r="B181" s="7" t="inlineStr">
        <is>
          <t>Comparison option truth table</t>
        </is>
      </c>
      <c r="C181" s="8" t="inlineStr">
        <is>
          <t>TC-180</t>
        </is>
      </c>
      <c r="D181" s="7" t="inlineStr">
        <is>
          <t>P1</t>
        </is>
      </c>
      <c r="E181" s="7" t="inlineStr">
        <is>
          <t>Options 010 — ignore whitespace only</t>
        </is>
      </c>
      <c r="F181" s="7" t="inlineStr">
        <is>
          <t>Same option fixture.</t>
        </is>
      </c>
      <c r="G181" s="7" t="inlineStr">
        <is>
          <t>Enable ignore whitespace only.</t>
        </is>
      </c>
      <c r="H181" s="7" t="inlineStr">
        <is>
          <t>Only whitespace-only differences are suppressed.</t>
        </is>
      </c>
      <c r="I181" s="7" t="inlineStr">
        <is>
          <t>Not executed — record observed result during execution.</t>
        </is>
      </c>
      <c r="J181" s="5" t="inlineStr">
        <is>
          <t>Not Run</t>
        </is>
      </c>
      <c r="K181" s="7" t="inlineStr">
        <is>
          <t>Not captured — attach screenshot path or evidence link after execution.</t>
        </is>
      </c>
    </row>
    <row r="182" ht="63" customHeight="1">
      <c r="A182" s="2" t="inlineStr">
        <is>
          <t>EXT-04</t>
        </is>
      </c>
      <c r="B182" s="3" t="inlineStr">
        <is>
          <t>Comparison option truth table</t>
        </is>
      </c>
      <c r="C182" s="4" t="inlineStr">
        <is>
          <t>TC-181</t>
        </is>
      </c>
      <c r="D182" s="3" t="inlineStr">
        <is>
          <t>P1</t>
        </is>
      </c>
      <c r="E182" s="3" t="inlineStr">
        <is>
          <t>Options 011 — whitespace and null</t>
        </is>
      </c>
      <c r="F182" s="3" t="inlineStr">
        <is>
          <t>Same option fixture.</t>
        </is>
      </c>
      <c r="G182" s="3" t="inlineStr">
        <is>
          <t>Enable ignore whitespace and ignore null.</t>
        </is>
      </c>
      <c r="H182" s="3" t="inlineStr">
        <is>
          <t>Only those two difference classes are suppressed.</t>
        </is>
      </c>
      <c r="I182" s="3" t="inlineStr">
        <is>
          <t>Not executed — record observed result during execution.</t>
        </is>
      </c>
      <c r="J182" s="5" t="inlineStr">
        <is>
          <t>Not Run</t>
        </is>
      </c>
      <c r="K182" s="3" t="inlineStr">
        <is>
          <t>Not captured — attach screenshot path or evidence link after execution.</t>
        </is>
      </c>
    </row>
    <row r="183" ht="63" customHeight="1">
      <c r="A183" s="6" t="inlineStr">
        <is>
          <t>EXT-04</t>
        </is>
      </c>
      <c r="B183" s="7" t="inlineStr">
        <is>
          <t>Comparison option truth table</t>
        </is>
      </c>
      <c r="C183" s="8" t="inlineStr">
        <is>
          <t>TC-182</t>
        </is>
      </c>
      <c r="D183" s="7" t="inlineStr">
        <is>
          <t>P1</t>
        </is>
      </c>
      <c r="E183" s="7" t="inlineStr">
        <is>
          <t>Options 100 — ignore case only</t>
        </is>
      </c>
      <c r="F183" s="7" t="inlineStr">
        <is>
          <t>Same option fixture.</t>
        </is>
      </c>
      <c r="G183" s="7" t="inlineStr">
        <is>
          <t>Enable ignore case only.</t>
        </is>
      </c>
      <c r="H183" s="7" t="inlineStr">
        <is>
          <t>Only case-only differences are suppressed.</t>
        </is>
      </c>
      <c r="I183" s="7" t="inlineStr">
        <is>
          <t>Not executed — record observed result during execution.</t>
        </is>
      </c>
      <c r="J183" s="5" t="inlineStr">
        <is>
          <t>Not Run</t>
        </is>
      </c>
      <c r="K183" s="7" t="inlineStr">
        <is>
          <t>Not captured — attach screenshot path or evidence link after execution.</t>
        </is>
      </c>
    </row>
    <row r="184" ht="63" customHeight="1">
      <c r="A184" s="2" t="inlineStr">
        <is>
          <t>EXT-04</t>
        </is>
      </c>
      <c r="B184" s="3" t="inlineStr">
        <is>
          <t>Comparison option truth table</t>
        </is>
      </c>
      <c r="C184" s="4" t="inlineStr">
        <is>
          <t>TC-183</t>
        </is>
      </c>
      <c r="D184" s="3" t="inlineStr">
        <is>
          <t>P1</t>
        </is>
      </c>
      <c r="E184" s="3" t="inlineStr">
        <is>
          <t>Options 101 — case and null</t>
        </is>
      </c>
      <c r="F184" s="3" t="inlineStr">
        <is>
          <t>Same option fixture.</t>
        </is>
      </c>
      <c r="G184" s="3" t="inlineStr">
        <is>
          <t>Enable ignore case and ignore null.</t>
        </is>
      </c>
      <c r="H184" s="3" t="inlineStr">
        <is>
          <t>Case-only and null-vs-value differences are suppressed.</t>
        </is>
      </c>
      <c r="I184" s="3" t="inlineStr">
        <is>
          <t>Not executed — record observed result during execution.</t>
        </is>
      </c>
      <c r="J184" s="5" t="inlineStr">
        <is>
          <t>Not Run</t>
        </is>
      </c>
      <c r="K184" s="3" t="inlineStr">
        <is>
          <t>Not captured — attach screenshot path or evidence link after execution.</t>
        </is>
      </c>
    </row>
    <row r="185" ht="63" customHeight="1">
      <c r="A185" s="6" t="inlineStr">
        <is>
          <t>EXT-04</t>
        </is>
      </c>
      <c r="B185" s="7" t="inlineStr">
        <is>
          <t>Comparison option truth table</t>
        </is>
      </c>
      <c r="C185" s="8" t="inlineStr">
        <is>
          <t>TC-184</t>
        </is>
      </c>
      <c r="D185" s="7" t="inlineStr">
        <is>
          <t>P1</t>
        </is>
      </c>
      <c r="E185" s="7" t="inlineStr">
        <is>
          <t>Options 110 — case and whitespace</t>
        </is>
      </c>
      <c r="F185" s="7" t="inlineStr">
        <is>
          <t>Same option fixture.</t>
        </is>
      </c>
      <c r="G185" s="7" t="inlineStr">
        <is>
          <t>Enable ignore case and ignore whitespace.</t>
        </is>
      </c>
      <c r="H185" s="7" t="inlineStr">
        <is>
          <t>Case-only and whitespace-only differences are suppressed.</t>
        </is>
      </c>
      <c r="I185" s="7" t="inlineStr">
        <is>
          <t>Not executed — record observed result during execution.</t>
        </is>
      </c>
      <c r="J185" s="5" t="inlineStr">
        <is>
          <t>Not Run</t>
        </is>
      </c>
      <c r="K185" s="7" t="inlineStr">
        <is>
          <t>Not captured — attach screenshot path or evidence link after execution.</t>
        </is>
      </c>
    </row>
    <row r="186" ht="63" customHeight="1">
      <c r="A186" s="2" t="inlineStr">
        <is>
          <t>EXT-04</t>
        </is>
      </c>
      <c r="B186" s="3" t="inlineStr">
        <is>
          <t>Comparison option truth table</t>
        </is>
      </c>
      <c r="C186" s="4" t="inlineStr">
        <is>
          <t>TC-185</t>
        </is>
      </c>
      <c r="D186" s="3" t="inlineStr">
        <is>
          <t>P1</t>
        </is>
      </c>
      <c r="E186" s="3" t="inlineStr">
        <is>
          <t>Options 111 — all normalizations</t>
        </is>
      </c>
      <c r="F186" s="3" t="inlineStr">
        <is>
          <t>Same option fixture.</t>
        </is>
      </c>
      <c r="G186" s="3" t="inlineStr">
        <is>
          <t>Enable all three options.</t>
        </is>
      </c>
      <c r="H186" s="3" t="inlineStr">
        <is>
          <t>Only true value differences remain.</t>
        </is>
      </c>
      <c r="I186" s="3" t="inlineStr">
        <is>
          <t>Not executed — record observed result during execution.</t>
        </is>
      </c>
      <c r="J186" s="5" t="inlineStr">
        <is>
          <t>Not Run</t>
        </is>
      </c>
      <c r="K186" s="3" t="inlineStr">
        <is>
          <t>Not captured — attach screenshot path or evidence link after execution.</t>
        </is>
      </c>
    </row>
    <row r="187" ht="63" customHeight="1">
      <c r="A187" s="6" t="inlineStr">
        <is>
          <t>EXT-04</t>
        </is>
      </c>
      <c r="B187" s="7" t="inlineStr">
        <is>
          <t>Comparison option truth table</t>
        </is>
      </c>
      <c r="C187" s="8" t="inlineStr">
        <is>
          <t>TC-186</t>
        </is>
      </c>
      <c r="D187" s="7" t="inlineStr">
        <is>
          <t>P1</t>
        </is>
      </c>
      <c r="E187" s="7" t="inlineStr">
        <is>
          <t>Ignore-null both sides null</t>
        </is>
      </c>
      <c r="F187" s="7" t="inlineStr">
        <is>
          <t>Both values null.</t>
        </is>
      </c>
      <c r="G187" s="7" t="inlineStr">
        <is>
          <t>Compare with null ignore off/on.</t>
        </is>
      </c>
      <c r="H187" s="7" t="inlineStr">
        <is>
          <t>Both null values do not become a false mismatch.</t>
        </is>
      </c>
      <c r="I187" s="7" t="inlineStr">
        <is>
          <t>Not executed — record observed result during execution.</t>
        </is>
      </c>
      <c r="J187" s="5" t="inlineStr">
        <is>
          <t>Not Run</t>
        </is>
      </c>
      <c r="K187" s="7" t="inlineStr">
        <is>
          <t>Not captured — attach screenshot path or evidence link after execution.</t>
        </is>
      </c>
    </row>
    <row r="188" ht="63" customHeight="1">
      <c r="A188" s="2" t="inlineStr">
        <is>
          <t>EXT-04</t>
        </is>
      </c>
      <c r="B188" s="3" t="inlineStr">
        <is>
          <t>Comparison option truth table</t>
        </is>
      </c>
      <c r="C188" s="4" t="inlineStr">
        <is>
          <t>TC-187</t>
        </is>
      </c>
      <c r="D188" s="3" t="inlineStr">
        <is>
          <t>P1</t>
        </is>
      </c>
      <c r="E188" s="3" t="inlineStr">
        <is>
          <t>Ignore-null empty string versus null</t>
        </is>
      </c>
      <c r="F188" s="3" t="inlineStr">
        <is>
          <t>One side empty string and one side null.</t>
        </is>
      </c>
      <c r="G188" s="3" t="inlineStr">
        <is>
          <t>Compare with null option on/off.</t>
        </is>
      </c>
      <c r="H188" s="3" t="inlineStr">
        <is>
          <t>Observed behavior is defined and agrees with product rule.</t>
        </is>
      </c>
      <c r="I188" s="3" t="inlineStr">
        <is>
          <t>Not executed — record observed result during execution.</t>
        </is>
      </c>
      <c r="J188" s="5" t="inlineStr">
        <is>
          <t>Not Run</t>
        </is>
      </c>
      <c r="K188" s="3" t="inlineStr">
        <is>
          <t>Not captured — attach screenshot path or evidence link after execution.</t>
        </is>
      </c>
    </row>
    <row r="189" ht="63" customHeight="1">
      <c r="A189" s="6" t="inlineStr">
        <is>
          <t>EXT-04</t>
        </is>
      </c>
      <c r="B189" s="7" t="inlineStr">
        <is>
          <t>Comparison option truth table</t>
        </is>
      </c>
      <c r="C189" s="8" t="inlineStr">
        <is>
          <t>TC-188</t>
        </is>
      </c>
      <c r="D189" s="7" t="inlineStr">
        <is>
          <t>P1</t>
        </is>
      </c>
      <c r="E189" s="7" t="inlineStr">
        <is>
          <t>Ignore-null zero versus null</t>
        </is>
      </c>
      <c r="F189" s="7" t="inlineStr">
        <is>
          <t>One side zero and the other null.</t>
        </is>
      </c>
      <c r="G189" s="7" t="inlineStr">
        <is>
          <t>Compare with option on/off.</t>
        </is>
      </c>
      <c r="H189" s="7" t="inlineStr">
        <is>
          <t>Zero is not mistaken for null/blank.</t>
        </is>
      </c>
      <c r="I189" s="7" t="inlineStr">
        <is>
          <t>Not executed — record observed result during execution.</t>
        </is>
      </c>
      <c r="J189" s="5" t="inlineStr">
        <is>
          <t>Not Run</t>
        </is>
      </c>
      <c r="K189" s="7" t="inlineStr">
        <is>
          <t>Not captured — attach screenshot path or evidence link after execution.</t>
        </is>
      </c>
    </row>
    <row r="190" ht="63" customHeight="1">
      <c r="A190" s="2" t="inlineStr">
        <is>
          <t>EXT-04</t>
        </is>
      </c>
      <c r="B190" s="3" t="inlineStr">
        <is>
          <t>Comparison option truth table</t>
        </is>
      </c>
      <c r="C190" s="4" t="inlineStr">
        <is>
          <t>TC-189</t>
        </is>
      </c>
      <c r="D190" s="3" t="inlineStr">
        <is>
          <t>P2</t>
        </is>
      </c>
      <c r="E190" s="3" t="inlineStr">
        <is>
          <t>Ignore-null whitespace-only string</t>
        </is>
      </c>
      <c r="F190" s="3" t="inlineStr">
        <is>
          <t>One side whitespace-only string and the other populated.</t>
        </is>
      </c>
      <c r="G190" s="3" t="inlineStr">
        <is>
          <t>Compare with whitespace and null options independently.</t>
        </is>
      </c>
      <c r="H190" s="3" t="inlineStr">
        <is>
          <t>Combination behavior is explicit and verified.</t>
        </is>
      </c>
      <c r="I190" s="3" t="inlineStr">
        <is>
          <t>Not executed — record observed result during execution.</t>
        </is>
      </c>
      <c r="J190" s="5" t="inlineStr">
        <is>
          <t>Not Run</t>
        </is>
      </c>
      <c r="K190" s="3" t="inlineStr">
        <is>
          <t>Not captured — attach screenshot path or evidence link after execution.</t>
        </is>
      </c>
    </row>
    <row r="191" ht="63" customHeight="1">
      <c r="A191" s="6" t="inlineStr">
        <is>
          <t>EXT-04</t>
        </is>
      </c>
      <c r="B191" s="7" t="inlineStr">
        <is>
          <t>Comparison option truth table</t>
        </is>
      </c>
      <c r="C191" s="8" t="inlineStr">
        <is>
          <t>TC-190</t>
        </is>
      </c>
      <c r="D191" s="7" t="inlineStr">
        <is>
          <t>P2</t>
        </is>
      </c>
      <c r="E191" s="7" t="inlineStr">
        <is>
          <t>Unicode case folding</t>
        </is>
      </c>
      <c r="F191" s="7" t="inlineStr">
        <is>
          <t>Values include non-ASCII case pairs.</t>
        </is>
      </c>
      <c r="G191" s="7" t="inlineStr">
        <is>
          <t>Toggle ignore case.</t>
        </is>
      </c>
      <c r="H191" s="7" t="inlineStr">
        <is>
          <t>Casefold behavior is correct for supported Unicode cases.</t>
        </is>
      </c>
      <c r="I191" s="7" t="inlineStr">
        <is>
          <t>Not executed — record observed result during execution.</t>
        </is>
      </c>
      <c r="J191" s="5" t="inlineStr">
        <is>
          <t>Not Run</t>
        </is>
      </c>
      <c r="K191" s="7" t="inlineStr">
        <is>
          <t>Not captured — attach screenshot path or evidence link after execution.</t>
        </is>
      </c>
    </row>
    <row r="192" ht="63" customHeight="1">
      <c r="A192" s="2" t="inlineStr">
        <is>
          <t>EXT-04</t>
        </is>
      </c>
      <c r="B192" s="3" t="inlineStr">
        <is>
          <t>Comparison option truth table</t>
        </is>
      </c>
      <c r="C192" s="4" t="inlineStr">
        <is>
          <t>TC-191</t>
        </is>
      </c>
      <c r="D192" s="3" t="inlineStr">
        <is>
          <t>P2</t>
        </is>
      </c>
      <c r="E192" s="3" t="inlineStr">
        <is>
          <t>Unicode whitespace normalization</t>
        </is>
      </c>
      <c r="F192" s="3" t="inlineStr">
        <is>
          <t>Values include non-ASCII whitespace.</t>
        </is>
      </c>
      <c r="G192" s="3" t="inlineStr">
        <is>
          <t>Toggle ignore whitespace.</t>
        </is>
      </c>
      <c r="H192" s="3" t="inlineStr">
        <is>
          <t>Whitespace behavior is verified for supported Unicode characters.</t>
        </is>
      </c>
      <c r="I192" s="3" t="inlineStr">
        <is>
          <t>Not executed — record observed result during execution.</t>
        </is>
      </c>
      <c r="J192" s="5" t="inlineStr">
        <is>
          <t>Not Run</t>
        </is>
      </c>
      <c r="K192" s="3" t="inlineStr">
        <is>
          <t>Not captured — attach screenshot path or evidence link after execution.</t>
        </is>
      </c>
    </row>
    <row r="193" ht="63" customHeight="1">
      <c r="A193" s="6" t="inlineStr">
        <is>
          <t>EXT-05</t>
        </is>
      </c>
      <c r="B193" s="7" t="inlineStr">
        <is>
          <t>Results, filtering, sorting and selection boundaries</t>
        </is>
      </c>
      <c r="C193" s="8" t="inlineStr">
        <is>
          <t>TC-192</t>
        </is>
      </c>
      <c r="D193" s="7" t="inlineStr">
        <is>
          <t>P1</t>
        </is>
      </c>
      <c r="E193" s="7" t="inlineStr">
        <is>
          <t>Exactly one page of results</t>
        </is>
      </c>
      <c r="F193" s="7" t="inlineStr">
        <is>
          <t>Exactly 10 exceptions.</t>
        </is>
      </c>
      <c r="G193" s="7" t="inlineStr">
        <is>
          <t>Open results table.</t>
        </is>
      </c>
      <c r="H193" s="7" t="inlineStr">
        <is>
          <t>Single page shows 10 rows and correct total.</t>
        </is>
      </c>
      <c r="I193" s="7" t="inlineStr">
        <is>
          <t>Not executed — record observed result during execution.</t>
        </is>
      </c>
      <c r="J193" s="5" t="inlineStr">
        <is>
          <t>Not Run</t>
        </is>
      </c>
      <c r="K193" s="7" t="inlineStr">
        <is>
          <t>Not captured — attach screenshot path or evidence link after execution.</t>
        </is>
      </c>
    </row>
    <row r="194" ht="63" customHeight="1">
      <c r="A194" s="2" t="inlineStr">
        <is>
          <t>EXT-05</t>
        </is>
      </c>
      <c r="B194" s="3" t="inlineStr">
        <is>
          <t>Results, filtering, sorting and selection boundaries</t>
        </is>
      </c>
      <c r="C194" s="4" t="inlineStr">
        <is>
          <t>TC-193</t>
        </is>
      </c>
      <c r="D194" s="3" t="inlineStr">
        <is>
          <t>P1</t>
        </is>
      </c>
      <c r="E194" s="3" t="inlineStr">
        <is>
          <t>One row beyond page boundary</t>
        </is>
      </c>
      <c r="F194" s="3" t="inlineStr">
        <is>
          <t>Exactly 11 exceptions.</t>
        </is>
      </c>
      <c r="G194" s="3" t="inlineStr">
        <is>
          <t>Navigate to page 2.</t>
        </is>
      </c>
      <c r="H194" s="3" t="inlineStr">
        <is>
          <t>Page 1 has 10; page 2 has one; no duplicates or gaps.</t>
        </is>
      </c>
      <c r="I194" s="3" t="inlineStr">
        <is>
          <t>Not executed — record observed result during execution.</t>
        </is>
      </c>
      <c r="J194" s="5" t="inlineStr">
        <is>
          <t>Not Run</t>
        </is>
      </c>
      <c r="K194" s="3" t="inlineStr">
        <is>
          <t>Not captured — attach screenshot path or evidence link after execution.</t>
        </is>
      </c>
    </row>
    <row r="195" ht="63" customHeight="1">
      <c r="A195" s="6" t="inlineStr">
        <is>
          <t>EXT-05</t>
        </is>
      </c>
      <c r="B195" s="7" t="inlineStr">
        <is>
          <t>Results, filtering, sorting and selection boundaries</t>
        </is>
      </c>
      <c r="C195" s="8" t="inlineStr">
        <is>
          <t>TC-194</t>
        </is>
      </c>
      <c r="D195" s="7" t="inlineStr">
        <is>
          <t>P2</t>
        </is>
      </c>
      <c r="E195" s="7" t="inlineStr">
        <is>
          <t>Empty results page beyond end</t>
        </is>
      </c>
      <c r="F195" s="7" t="inlineStr">
        <is>
          <t>Comparison has fewer rows than requested offset.</t>
        </is>
      </c>
      <c r="G195" s="7" t="inlineStr">
        <is>
          <t>Request a page past last result.</t>
        </is>
      </c>
      <c r="H195" s="7" t="inlineStr">
        <is>
          <t>Empty page and total are consistent; no stale rows shown.</t>
        </is>
      </c>
      <c r="I195" s="7" t="inlineStr">
        <is>
          <t>Not executed — record observed result during execution.</t>
        </is>
      </c>
      <c r="J195" s="5" t="inlineStr">
        <is>
          <t>Not Run</t>
        </is>
      </c>
      <c r="K195" s="7" t="inlineStr">
        <is>
          <t>Not captured — attach screenshot path or evidence link after execution.</t>
        </is>
      </c>
    </row>
    <row r="196" ht="63" customHeight="1">
      <c r="A196" s="2" t="inlineStr">
        <is>
          <t>EXT-05</t>
        </is>
      </c>
      <c r="B196" s="3" t="inlineStr">
        <is>
          <t>Results, filtering, sorting and selection boundaries</t>
        </is>
      </c>
      <c r="C196" s="4" t="inlineStr">
        <is>
          <t>TC-195</t>
        </is>
      </c>
      <c r="D196" s="3" t="inlineStr">
        <is>
          <t>P2</t>
        </is>
      </c>
      <c r="E196" s="3" t="inlineStr">
        <is>
          <t>Search and page interaction</t>
        </is>
      </c>
      <c r="F196" s="3" t="inlineStr">
        <is>
          <t>More than one page of rows.</t>
        </is>
      </c>
      <c r="G196" s="3" t="inlineStr">
        <is>
          <t>Navigate page 2, enter search, clear search.</t>
        </is>
      </c>
      <c r="H196" s="3" t="inlineStr">
        <is>
          <t>Page resets appropriately; search result total and rows are accurate.</t>
        </is>
      </c>
      <c r="I196" s="3" t="inlineStr">
        <is>
          <t>Not executed — record observed result during execution.</t>
        </is>
      </c>
      <c r="J196" s="5" t="inlineStr">
        <is>
          <t>Not Run</t>
        </is>
      </c>
      <c r="K196" s="3" t="inlineStr">
        <is>
          <t>Not captured — attach screenshot path or evidence link after execution.</t>
        </is>
      </c>
    </row>
    <row r="197" ht="63" customHeight="1">
      <c r="A197" s="6" t="inlineStr">
        <is>
          <t>EXT-05</t>
        </is>
      </c>
      <c r="B197" s="7" t="inlineStr">
        <is>
          <t>Results, filtering, sorting and selection boundaries</t>
        </is>
      </c>
      <c r="C197" s="8" t="inlineStr">
        <is>
          <t>TC-196</t>
        </is>
      </c>
      <c r="D197" s="7" t="inlineStr">
        <is>
          <t>P2</t>
        </is>
      </c>
      <c r="E197" s="7" t="inlineStr">
        <is>
          <t>Filter and sort interaction</t>
        </is>
      </c>
      <c r="F197" s="7" t="inlineStr">
        <is>
          <t>Multiple statuses and columns exist.</t>
        </is>
      </c>
      <c r="G197" s="7" t="inlineStr">
        <is>
          <t>Apply status and column filter, then sort.</t>
        </is>
      </c>
      <c r="H197" s="7" t="inlineStr">
        <is>
          <t>Filters remain effective after sort.</t>
        </is>
      </c>
      <c r="I197" s="7" t="inlineStr">
        <is>
          <t>Not executed — record observed result during execution.</t>
        </is>
      </c>
      <c r="J197" s="5" t="inlineStr">
        <is>
          <t>Not Run</t>
        </is>
      </c>
      <c r="K197" s="7" t="inlineStr">
        <is>
          <t>Not captured — attach screenshot path or evidence link after execution.</t>
        </is>
      </c>
    </row>
    <row r="198" ht="63" customHeight="1">
      <c r="A198" s="2" t="inlineStr">
        <is>
          <t>EXT-05</t>
        </is>
      </c>
      <c r="B198" s="3" t="inlineStr">
        <is>
          <t>Results, filtering, sorting and selection boundaries</t>
        </is>
      </c>
      <c r="C198" s="4" t="inlineStr">
        <is>
          <t>TC-197</t>
        </is>
      </c>
      <c r="D198" s="3" t="inlineStr">
        <is>
          <t>P2</t>
        </is>
      </c>
      <c r="E198" s="3" t="inlineStr">
        <is>
          <t>Clear one filter while another remains</t>
        </is>
      </c>
      <c r="F198" s="3" t="inlineStr">
        <is>
          <t>Status and column filters active.</t>
        </is>
      </c>
      <c r="G198" s="3" t="inlineStr">
        <is>
          <t>Clear status only.</t>
        </is>
      </c>
      <c r="H198" s="3" t="inlineStr">
        <is>
          <t>Column filter remains applied and result total updates.</t>
        </is>
      </c>
      <c r="I198" s="3" t="inlineStr">
        <is>
          <t>Not executed — record observed result during execution.</t>
        </is>
      </c>
      <c r="J198" s="5" t="inlineStr">
        <is>
          <t>Not Run</t>
        </is>
      </c>
      <c r="K198" s="3" t="inlineStr">
        <is>
          <t>Not captured — attach screenshot path or evidence link after execution.</t>
        </is>
      </c>
    </row>
    <row r="199" ht="63" customHeight="1">
      <c r="A199" s="6" t="inlineStr">
        <is>
          <t>EXT-05</t>
        </is>
      </c>
      <c r="B199" s="7" t="inlineStr">
        <is>
          <t>Results, filtering, sorting and selection boundaries</t>
        </is>
      </c>
      <c r="C199" s="8" t="inlineStr">
        <is>
          <t>TC-198</t>
        </is>
      </c>
      <c r="D199" s="7" t="inlineStr">
        <is>
          <t>P2</t>
        </is>
      </c>
      <c r="E199" s="7" t="inlineStr">
        <is>
          <t>Search case-insensitive</t>
        </is>
      </c>
      <c r="F199" s="7" t="inlineStr">
        <is>
          <t>Known value differs only in case from query.</t>
        </is>
      </c>
      <c r="G199" s="7" t="inlineStr">
        <is>
          <t>Search with alternate case.</t>
        </is>
      </c>
      <c r="H199" s="7" t="inlineStr">
        <is>
          <t>Search matches case-insensitively.</t>
        </is>
      </c>
      <c r="I199" s="7" t="inlineStr">
        <is>
          <t>Not executed — record observed result during execution.</t>
        </is>
      </c>
      <c r="J199" s="5" t="inlineStr">
        <is>
          <t>Not Run</t>
        </is>
      </c>
      <c r="K199" s="7" t="inlineStr">
        <is>
          <t>Not captured — attach screenshot path or evidence link after execution.</t>
        </is>
      </c>
    </row>
    <row r="200" ht="63" customHeight="1">
      <c r="A200" s="2" t="inlineStr">
        <is>
          <t>EXT-05</t>
        </is>
      </c>
      <c r="B200" s="3" t="inlineStr">
        <is>
          <t>Results, filtering, sorting and selection boundaries</t>
        </is>
      </c>
      <c r="C200" s="4" t="inlineStr">
        <is>
          <t>TC-199</t>
        </is>
      </c>
      <c r="D200" s="3" t="inlineStr">
        <is>
          <t>P1</t>
        </is>
      </c>
      <c r="E200" s="3" t="inlineStr">
        <is>
          <t>Search literal regex characters</t>
        </is>
      </c>
      <c r="F200" s="3" t="inlineStr">
        <is>
          <t>Results contain regex punctuation.</t>
        </is>
      </c>
      <c r="G200" s="3" t="inlineStr">
        <is>
          <t>Search for ., *, [, and backslash.</t>
        </is>
      </c>
      <c r="H200" s="3" t="inlineStr">
        <is>
          <t>Literal search succeeds without regex parse failure.</t>
        </is>
      </c>
      <c r="I200" s="3" t="inlineStr">
        <is>
          <t>Not executed — record observed result during execution.</t>
        </is>
      </c>
      <c r="J200" s="5" t="inlineStr">
        <is>
          <t>Not Run</t>
        </is>
      </c>
      <c r="K200" s="3" t="inlineStr">
        <is>
          <t>Not captured — attach screenshot path or evidence link after execution.</t>
        </is>
      </c>
    </row>
    <row r="201" ht="63" customHeight="1">
      <c r="A201" s="6" t="inlineStr">
        <is>
          <t>EXT-05</t>
        </is>
      </c>
      <c r="B201" s="7" t="inlineStr">
        <is>
          <t>Results, filtering, sorting and selection boundaries</t>
        </is>
      </c>
      <c r="C201" s="8" t="inlineStr">
        <is>
          <t>TC-200</t>
        </is>
      </c>
      <c r="D201" s="7" t="inlineStr">
        <is>
          <t>P2</t>
        </is>
      </c>
      <c r="E201" s="7" t="inlineStr">
        <is>
          <t>Sort mixed numeric-like keys</t>
        </is>
      </c>
      <c r="F201" s="7" t="inlineStr">
        <is>
          <t>Key values include 2, 10 and text values.</t>
        </is>
      </c>
      <c r="G201" s="7" t="inlineStr">
        <is>
          <t>Sort by primary key.</t>
        </is>
      </c>
      <c r="H201" s="7" t="inlineStr">
        <is>
          <t>Sort behavior is stable and understandable for mixed values.</t>
        </is>
      </c>
      <c r="I201" s="7" t="inlineStr">
        <is>
          <t>Not executed — record observed result during execution.</t>
        </is>
      </c>
      <c r="J201" s="5" t="inlineStr">
        <is>
          <t>Not Run</t>
        </is>
      </c>
      <c r="K201" s="7" t="inlineStr">
        <is>
          <t>Not captured — attach screenshot path or evidence link after execution.</t>
        </is>
      </c>
    </row>
    <row r="202" ht="63" customHeight="1">
      <c r="A202" s="2" t="inlineStr">
        <is>
          <t>EXT-05</t>
        </is>
      </c>
      <c r="B202" s="3" t="inlineStr">
        <is>
          <t>Results, filtering, sorting and selection boundaries</t>
        </is>
      </c>
      <c r="C202" s="4" t="inlineStr">
        <is>
          <t>TC-201</t>
        </is>
      </c>
      <c r="D202" s="3" t="inlineStr">
        <is>
          <t>P2</t>
        </is>
      </c>
      <c r="E202" s="3" t="inlineStr">
        <is>
          <t>Sort null and blank values</t>
        </is>
      </c>
      <c r="F202" s="3" t="inlineStr">
        <is>
          <t>Results include blanks/nulls.</t>
        </is>
      </c>
      <c r="G202" s="3" t="inlineStr">
        <is>
          <t>Sort source/target values.</t>
        </is>
      </c>
      <c r="H202" s="3" t="inlineStr">
        <is>
          <t>No sort exception; null order is consistent.</t>
        </is>
      </c>
      <c r="I202" s="3" t="inlineStr">
        <is>
          <t>Not executed — record observed result during execution.</t>
        </is>
      </c>
      <c r="J202" s="5" t="inlineStr">
        <is>
          <t>Not Run</t>
        </is>
      </c>
      <c r="K202" s="3" t="inlineStr">
        <is>
          <t>Not captured — attach screenshot path or evidence link after execution.</t>
        </is>
      </c>
    </row>
    <row r="203" ht="63" customHeight="1">
      <c r="A203" s="6" t="inlineStr">
        <is>
          <t>EXT-05</t>
        </is>
      </c>
      <c r="B203" s="7" t="inlineStr">
        <is>
          <t>Results, filtering, sorting and selection boundaries</t>
        </is>
      </c>
      <c r="C203" s="8" t="inlineStr">
        <is>
          <t>TC-202</t>
        </is>
      </c>
      <c r="D203" s="7" t="inlineStr">
        <is>
          <t>P1</t>
        </is>
      </c>
      <c r="E203" s="7" t="inlineStr">
        <is>
          <t>Select rows then change page</t>
        </is>
      </c>
      <c r="F203" s="7" t="inlineStr">
        <is>
          <t>More than one page of results.</t>
        </is>
      </c>
      <c r="G203" s="7" t="inlineStr">
        <is>
          <t>Select rows, paginate, inspect selected count, export.</t>
        </is>
      </c>
      <c r="H203" s="7" t="inlineStr">
        <is>
          <t>Selection behavior across pages is explicit; exported rows exactly match intended selection.</t>
        </is>
      </c>
      <c r="I203" s="7" t="inlineStr">
        <is>
          <t>Not executed — record observed result during execution.</t>
        </is>
      </c>
      <c r="J203" s="5" t="inlineStr">
        <is>
          <t>Not Run</t>
        </is>
      </c>
      <c r="K203" s="7" t="inlineStr">
        <is>
          <t>Not captured — attach screenshot path or evidence link after execution.</t>
        </is>
      </c>
    </row>
    <row r="204" ht="63" customHeight="1">
      <c r="A204" s="2" t="inlineStr">
        <is>
          <t>EXT-05</t>
        </is>
      </c>
      <c r="B204" s="3" t="inlineStr">
        <is>
          <t>Results, filtering, sorting and selection boundaries</t>
        </is>
      </c>
      <c r="C204" s="4" t="inlineStr">
        <is>
          <t>TC-203</t>
        </is>
      </c>
      <c r="D204" s="3" t="inlineStr">
        <is>
          <t>P1</t>
        </is>
      </c>
      <c r="E204" s="3" t="inlineStr">
        <is>
          <t>Select rows then change filters</t>
        </is>
      </c>
      <c r="F204" s="3" t="inlineStr">
        <is>
          <t>Rows selected under initial filter.</t>
        </is>
      </c>
      <c r="G204" s="3" t="inlineStr">
        <is>
          <t>Change status/search filters and export selection.</t>
        </is>
      </c>
      <c r="H204" s="3" t="inlineStr">
        <is>
          <t>No hidden stale row index exports unrelated exceptions.</t>
        </is>
      </c>
      <c r="I204" s="3" t="inlineStr">
        <is>
          <t>Not executed — record observed result during execution.</t>
        </is>
      </c>
      <c r="J204" s="5" t="inlineStr">
        <is>
          <t>Not Run</t>
        </is>
      </c>
      <c r="K204" s="3" t="inlineStr">
        <is>
          <t>Not captured — attach screenshot path or evidence link after execution.</t>
        </is>
      </c>
    </row>
    <row r="205" ht="63" customHeight="1">
      <c r="A205" s="6" t="inlineStr">
        <is>
          <t>EXT-05</t>
        </is>
      </c>
      <c r="B205" s="7" t="inlineStr">
        <is>
          <t>Results, filtering, sorting and selection boundaries</t>
        </is>
      </c>
      <c r="C205" s="8" t="inlineStr">
        <is>
          <t>TC-204</t>
        </is>
      </c>
      <c r="D205" s="7" t="inlineStr">
        <is>
          <t>P1</t>
        </is>
      </c>
      <c r="E205" s="7" t="inlineStr">
        <is>
          <t>Sort then export selected rows</t>
        </is>
      </c>
      <c r="F205" s="7" t="inlineStr">
        <is>
          <t>Several result rows available.</t>
        </is>
      </c>
      <c r="G205" s="7" t="inlineStr">
        <is>
          <t>Sort, select a row, export selected.</t>
        </is>
      </c>
      <c r="H205" s="7" t="inlineStr">
        <is>
          <t>Export includes the selected logical row, not an unintended positional row.</t>
        </is>
      </c>
      <c r="I205" s="7" t="inlineStr">
        <is>
          <t>Not executed — record observed result during execution.</t>
        </is>
      </c>
      <c r="J205" s="5" t="inlineStr">
        <is>
          <t>Not Run</t>
        </is>
      </c>
      <c r="K205" s="7" t="inlineStr">
        <is>
          <t>Not captured — attach screenshot path or evidence link after execution.</t>
        </is>
      </c>
    </row>
    <row r="206" ht="63" customHeight="1">
      <c r="A206" s="2" t="inlineStr">
        <is>
          <t>EXT-05</t>
        </is>
      </c>
      <c r="B206" s="3" t="inlineStr">
        <is>
          <t>Results, filtering, sorting and selection boundaries</t>
        </is>
      </c>
      <c r="C206" s="4" t="inlineStr">
        <is>
          <t>TC-205</t>
        </is>
      </c>
      <c r="D206" s="3" t="inlineStr">
        <is>
          <t>P2</t>
        </is>
      </c>
      <c r="E206" s="3" t="inlineStr">
        <is>
          <t>Repeated select/deselect</t>
        </is>
      </c>
      <c r="F206" s="3" t="inlineStr">
        <is>
          <t>Several result rows.</t>
        </is>
      </c>
      <c r="G206" s="3" t="inlineStr">
        <is>
          <t>Select, deselect, select all and clear.</t>
        </is>
      </c>
      <c r="H206" s="3" t="inlineStr">
        <is>
          <t>Selected count and export button state stay synchronized.</t>
        </is>
      </c>
      <c r="I206" s="3" t="inlineStr">
        <is>
          <t>Not executed — record observed result during execution.</t>
        </is>
      </c>
      <c r="J206" s="5" t="inlineStr">
        <is>
          <t>Not Run</t>
        </is>
      </c>
      <c r="K206" s="3" t="inlineStr">
        <is>
          <t>Not captured — attach screenshot path or evidence link after execution.</t>
        </is>
      </c>
    </row>
    <row r="207" ht="63" customHeight="1">
      <c r="A207" s="6" t="inlineStr">
        <is>
          <t>EXT-05</t>
        </is>
      </c>
      <c r="B207" s="7" t="inlineStr">
        <is>
          <t>Results, filtering, sorting and selection boundaries</t>
        </is>
      </c>
      <c r="C207" s="8" t="inlineStr">
        <is>
          <t>TC-206</t>
        </is>
      </c>
      <c r="D207" s="7" t="inlineStr">
        <is>
          <t>P2</t>
        </is>
      </c>
      <c r="E207" s="7" t="inlineStr">
        <is>
          <t>Change comparison after selection</t>
        </is>
      </c>
      <c r="F207" s="7" t="inlineStr">
        <is>
          <t>A row selected from one run.</t>
        </is>
      </c>
      <c r="G207" s="7" t="inlineStr">
        <is>
          <t>Upload new data and compare again.</t>
        </is>
      </c>
      <c r="H207" s="7" t="inlineStr">
        <is>
          <t>Old selection does not leak into the new run.</t>
        </is>
      </c>
      <c r="I207" s="7" t="inlineStr">
        <is>
          <t>Not executed — record observed result during execution.</t>
        </is>
      </c>
      <c r="J207" s="5" t="inlineStr">
        <is>
          <t>Not Run</t>
        </is>
      </c>
      <c r="K207" s="7" t="inlineStr">
        <is>
          <t>Not captured — attach screenshot path or evidence link after execution.</t>
        </is>
      </c>
    </row>
    <row r="208" ht="63" customHeight="1">
      <c r="A208" s="2" t="inlineStr">
        <is>
          <t>EXT-05</t>
        </is>
      </c>
      <c r="B208" s="3" t="inlineStr">
        <is>
          <t>Results, filtering, sorting and selection boundaries</t>
        </is>
      </c>
      <c r="C208" s="4" t="inlineStr">
        <is>
          <t>TC-207</t>
        </is>
      </c>
      <c r="D208" s="3" t="inlineStr">
        <is>
          <t>P2</t>
        </is>
      </c>
      <c r="E208" s="3" t="inlineStr">
        <is>
          <t>Filter text containing Unicode</t>
        </is>
      </c>
      <c r="F208" s="3" t="inlineStr">
        <is>
          <t>Unicode values in exception rows.</t>
        </is>
      </c>
      <c r="G208" s="3" t="inlineStr">
        <is>
          <t>Search by Unicode query.</t>
        </is>
      </c>
      <c r="H208" s="3" t="inlineStr">
        <is>
          <t>Search returns expected rows.</t>
        </is>
      </c>
      <c r="I208" s="3" t="inlineStr">
        <is>
          <t>Not executed — record observed result during execution.</t>
        </is>
      </c>
      <c r="J208" s="5" t="inlineStr">
        <is>
          <t>Not Run</t>
        </is>
      </c>
      <c r="K208" s="3" t="inlineStr">
        <is>
          <t>Not captured — attach screenshot path or evidence link after execution.</t>
        </is>
      </c>
    </row>
    <row r="209" ht="63" customHeight="1">
      <c r="A209" s="6" t="inlineStr">
        <is>
          <t>EXT-06</t>
        </is>
      </c>
      <c r="B209" s="7" t="inlineStr">
        <is>
          <t>API validation and HTTP contract boundaries</t>
        </is>
      </c>
      <c r="C209" s="8" t="inlineStr">
        <is>
          <t>TC-208</t>
        </is>
      </c>
      <c r="D209" s="7" t="inlineStr">
        <is>
          <t>P1</t>
        </is>
      </c>
      <c r="E209" s="7" t="inlineStr">
        <is>
          <t>Missing source multipart part</t>
        </is>
      </c>
      <c r="F209" s="7" t="inlineStr">
        <is>
          <t>Backend running.</t>
        </is>
      </c>
      <c r="G209" s="7" t="inlineStr">
        <is>
          <t>POST /api/compare with only target.</t>
        </is>
      </c>
      <c r="H209" s="7" t="inlineStr">
        <is>
          <t>FastAPI returns 422 validation response.</t>
        </is>
      </c>
      <c r="I209" s="7" t="inlineStr">
        <is>
          <t>Not executed — record observed result during execution.</t>
        </is>
      </c>
      <c r="J209" s="5" t="inlineStr">
        <is>
          <t>Not Run</t>
        </is>
      </c>
      <c r="K209" s="7" t="inlineStr">
        <is>
          <t>Not captured — attach screenshot path or evidence link after execution.</t>
        </is>
      </c>
    </row>
    <row r="210" ht="63" customHeight="1">
      <c r="A210" s="2" t="inlineStr">
        <is>
          <t>EXT-06</t>
        </is>
      </c>
      <c r="B210" s="3" t="inlineStr">
        <is>
          <t>API validation and HTTP contract boundaries</t>
        </is>
      </c>
      <c r="C210" s="4" t="inlineStr">
        <is>
          <t>TC-209</t>
        </is>
      </c>
      <c r="D210" s="3" t="inlineStr">
        <is>
          <t>P1</t>
        </is>
      </c>
      <c r="E210" s="3" t="inlineStr">
        <is>
          <t>Missing target multipart part</t>
        </is>
      </c>
      <c r="F210" s="3" t="inlineStr">
        <is>
          <t>Backend running.</t>
        </is>
      </c>
      <c r="G210" s="3" t="inlineStr">
        <is>
          <t>POST /api/compare with only source.</t>
        </is>
      </c>
      <c r="H210" s="3" t="inlineStr">
        <is>
          <t>FastAPI returns 422 validation response.</t>
        </is>
      </c>
      <c r="I210" s="3" t="inlineStr">
        <is>
          <t>Not executed — record observed result during execution.</t>
        </is>
      </c>
      <c r="J210" s="5" t="inlineStr">
        <is>
          <t>Not Run</t>
        </is>
      </c>
      <c r="K210" s="3" t="inlineStr">
        <is>
          <t>Not captured — attach screenshot path or evidence link after execution.</t>
        </is>
      </c>
    </row>
    <row r="211" ht="63" customHeight="1">
      <c r="A211" s="6" t="inlineStr">
        <is>
          <t>EXT-06</t>
        </is>
      </c>
      <c r="B211" s="7" t="inlineStr">
        <is>
          <t>API validation and HTTP contract boundaries</t>
        </is>
      </c>
      <c r="C211" s="8" t="inlineStr">
        <is>
          <t>TC-210</t>
        </is>
      </c>
      <c r="D211" s="7" t="inlineStr">
        <is>
          <t>P1</t>
        </is>
      </c>
      <c r="E211" s="7" t="inlineStr">
        <is>
          <t>Missing primary_keys form field</t>
        </is>
      </c>
      <c r="F211" s="7" t="inlineStr">
        <is>
          <t>Valid source and target.</t>
        </is>
      </c>
      <c r="G211" s="7" t="inlineStr">
        <is>
          <t>POST compare without primary_keys.</t>
        </is>
      </c>
      <c r="H211" s="7" t="inlineStr">
        <is>
          <t>Default EMPID is used or missing-key validation clearly returned.</t>
        </is>
      </c>
      <c r="I211" s="7" t="inlineStr">
        <is>
          <t>Not executed — record observed result during execution.</t>
        </is>
      </c>
      <c r="J211" s="5" t="inlineStr">
        <is>
          <t>Not Run</t>
        </is>
      </c>
      <c r="K211" s="7" t="inlineStr">
        <is>
          <t>Not captured — attach screenshot path or evidence link after execution.</t>
        </is>
      </c>
    </row>
    <row r="212" ht="63" customHeight="1">
      <c r="A212" s="2" t="inlineStr">
        <is>
          <t>EXT-06</t>
        </is>
      </c>
      <c r="B212" s="3" t="inlineStr">
        <is>
          <t>API validation and HTTP contract boundaries</t>
        </is>
      </c>
      <c r="C212" s="4" t="inlineStr">
        <is>
          <t>TC-211</t>
        </is>
      </c>
      <c r="D212" s="3" t="inlineStr">
        <is>
          <t>P1</t>
        </is>
      </c>
      <c r="E212" s="3" t="inlineStr">
        <is>
          <t>Malformed boolean form field</t>
        </is>
      </c>
      <c r="F212" s="3" t="inlineStr">
        <is>
          <t>Valid files.</t>
        </is>
      </c>
      <c r="G212" s="3" t="inlineStr">
        <is>
          <t>POST compare with invalid boolean option text.</t>
        </is>
      </c>
      <c r="H212" s="3" t="inlineStr">
        <is>
          <t>Request is rejected with 422; not silently coerced.</t>
        </is>
      </c>
      <c r="I212" s="3" t="inlineStr">
        <is>
          <t>Not executed — record observed result during execution.</t>
        </is>
      </c>
      <c r="J212" s="5" t="inlineStr">
        <is>
          <t>Not Run</t>
        </is>
      </c>
      <c r="K212" s="3" t="inlineStr">
        <is>
          <t>Not captured — attach screenshot path or evidence link after execution.</t>
        </is>
      </c>
    </row>
    <row r="213" ht="63" customHeight="1">
      <c r="A213" s="6" t="inlineStr">
        <is>
          <t>EXT-06</t>
        </is>
      </c>
      <c r="B213" s="7" t="inlineStr">
        <is>
          <t>API validation and HTTP contract boundaries</t>
        </is>
      </c>
      <c r="C213" s="8" t="inlineStr">
        <is>
          <t>TC-212</t>
        </is>
      </c>
      <c r="D213" s="7" t="inlineStr">
        <is>
          <t>P2</t>
        </is>
      </c>
      <c r="E213" s="7" t="inlineStr">
        <is>
          <t>Negative result offset</t>
        </is>
      </c>
      <c r="F213" s="7" t="inlineStr">
        <is>
          <t>Valid comparison ID.</t>
        </is>
      </c>
      <c r="G213" s="7" t="inlineStr">
        <is>
          <t>GET results with offset=-10.</t>
        </is>
      </c>
      <c r="H213" s="7" t="inlineStr">
        <is>
          <t>Offset is clamped to zero or rejected consistently.</t>
        </is>
      </c>
      <c r="I213" s="7" t="inlineStr">
        <is>
          <t>Not executed — record observed result during execution.</t>
        </is>
      </c>
      <c r="J213" s="5" t="inlineStr">
        <is>
          <t>Not Run</t>
        </is>
      </c>
      <c r="K213" s="7" t="inlineStr">
        <is>
          <t>Not captured — attach screenshot path or evidence link after execution.</t>
        </is>
      </c>
    </row>
    <row r="214" ht="63" customHeight="1">
      <c r="A214" s="2" t="inlineStr">
        <is>
          <t>EXT-06</t>
        </is>
      </c>
      <c r="B214" s="3" t="inlineStr">
        <is>
          <t>API validation and HTTP contract boundaries</t>
        </is>
      </c>
      <c r="C214" s="4" t="inlineStr">
        <is>
          <t>TC-213</t>
        </is>
      </c>
      <c r="D214" s="3" t="inlineStr">
        <is>
          <t>P2</t>
        </is>
      </c>
      <c r="E214" s="3" t="inlineStr">
        <is>
          <t>Negative preview offset</t>
        </is>
      </c>
      <c r="F214" s="3" t="inlineStr">
        <is>
          <t>Valid comparison ID.</t>
        </is>
      </c>
      <c r="G214" s="3" t="inlineStr">
        <is>
          <t>GET preview/source with offset=-5.</t>
        </is>
      </c>
      <c r="H214" s="3" t="inlineStr">
        <is>
          <t>Offset is clamped or rejected consistently.</t>
        </is>
      </c>
      <c r="I214" s="3" t="inlineStr">
        <is>
          <t>Not executed — record observed result during execution.</t>
        </is>
      </c>
      <c r="J214" s="5" t="inlineStr">
        <is>
          <t>Not Run</t>
        </is>
      </c>
      <c r="K214" s="3" t="inlineStr">
        <is>
          <t>Not captured — attach screenshot path or evidence link after execution.</t>
        </is>
      </c>
    </row>
    <row r="215" ht="63" customHeight="1">
      <c r="A215" s="6" t="inlineStr">
        <is>
          <t>EXT-06</t>
        </is>
      </c>
      <c r="B215" s="7" t="inlineStr">
        <is>
          <t>API validation and HTTP contract boundaries</t>
        </is>
      </c>
      <c r="C215" s="8" t="inlineStr">
        <is>
          <t>TC-214</t>
        </is>
      </c>
      <c r="D215" s="7" t="inlineStr">
        <is>
          <t>P1</t>
        </is>
      </c>
      <c r="E215" s="7" t="inlineStr">
        <is>
          <t>Zero results limit</t>
        </is>
      </c>
      <c r="F215" s="7" t="inlineStr">
        <is>
          <t>Valid comparison ID.</t>
        </is>
      </c>
      <c r="G215" s="7" t="inlineStr">
        <is>
          <t>GET results?limit=0.</t>
        </is>
      </c>
      <c r="H215" s="7" t="inlineStr">
        <is>
          <t>Limit is clamped to 1 or validation error; no division error.</t>
        </is>
      </c>
      <c r="I215" s="7" t="inlineStr">
        <is>
          <t>Not executed — record observed result during execution.</t>
        </is>
      </c>
      <c r="J215" s="5" t="inlineStr">
        <is>
          <t>Not Run</t>
        </is>
      </c>
      <c r="K215" s="7" t="inlineStr">
        <is>
          <t>Not captured — attach screenshot path or evidence link after execution.</t>
        </is>
      </c>
    </row>
    <row r="216" ht="63" customHeight="1">
      <c r="A216" s="2" t="inlineStr">
        <is>
          <t>EXT-06</t>
        </is>
      </c>
      <c r="B216" s="3" t="inlineStr">
        <is>
          <t>API validation and HTTP contract boundaries</t>
        </is>
      </c>
      <c r="C216" s="4" t="inlineStr">
        <is>
          <t>TC-215</t>
        </is>
      </c>
      <c r="D216" s="3" t="inlineStr">
        <is>
          <t>P2</t>
        </is>
      </c>
      <c r="E216" s="3" t="inlineStr">
        <is>
          <t>Non-integer pagination</t>
        </is>
      </c>
      <c r="F216" s="3" t="inlineStr">
        <is>
          <t>Valid comparison ID.</t>
        </is>
      </c>
      <c r="G216" s="3" t="inlineStr">
        <is>
          <t>GET results?offset=abc.</t>
        </is>
      </c>
      <c r="H216" s="3" t="inlineStr">
        <is>
          <t>HTTP 422 validation response.</t>
        </is>
      </c>
      <c r="I216" s="3" t="inlineStr">
        <is>
          <t>Not executed — record observed result during execution.</t>
        </is>
      </c>
      <c r="J216" s="5" t="inlineStr">
        <is>
          <t>Not Run</t>
        </is>
      </c>
      <c r="K216" s="3" t="inlineStr">
        <is>
          <t>Not captured — attach screenshot path or evidence link after execution.</t>
        </is>
      </c>
    </row>
    <row r="217" ht="63" customHeight="1">
      <c r="A217" s="6" t="inlineStr">
        <is>
          <t>EXT-06</t>
        </is>
      </c>
      <c r="B217" s="7" t="inlineStr">
        <is>
          <t>API validation and HTTP contract boundaries</t>
        </is>
      </c>
      <c r="C217" s="8" t="inlineStr">
        <is>
          <t>TC-216</t>
        </is>
      </c>
      <c r="D217" s="7" t="inlineStr">
        <is>
          <t>P1</t>
        </is>
      </c>
      <c r="E217" s="7" t="inlineStr">
        <is>
          <t>Invalid selected-index string</t>
        </is>
      </c>
      <c r="F217" s="7" t="inlineStr">
        <is>
          <t>Valid comparison ID.</t>
        </is>
      </c>
      <c r="G217" s="7" t="inlineStr">
        <is>
          <t>GET report with selected=abc.</t>
        </is>
      </c>
      <c r="H217" s="7" t="inlineStr">
        <is>
          <t>HTTP 400 with selected-index guidance.</t>
        </is>
      </c>
      <c r="I217" s="7" t="inlineStr">
        <is>
          <t>Not executed — record observed result during execution.</t>
        </is>
      </c>
      <c r="J217" s="5" t="inlineStr">
        <is>
          <t>Not Run</t>
        </is>
      </c>
      <c r="K217" s="7" t="inlineStr">
        <is>
          <t>Not captured — attach screenshot path or evidence link after execution.</t>
        </is>
      </c>
    </row>
    <row r="218" ht="63" customHeight="1">
      <c r="A218" s="2" t="inlineStr">
        <is>
          <t>EXT-06</t>
        </is>
      </c>
      <c r="B218" s="3" t="inlineStr">
        <is>
          <t>API validation and HTTP contract boundaries</t>
        </is>
      </c>
      <c r="C218" s="4" t="inlineStr">
        <is>
          <t>TC-217</t>
        </is>
      </c>
      <c r="D218" s="3" t="inlineStr">
        <is>
          <t>P2</t>
        </is>
      </c>
      <c r="E218" s="3" t="inlineStr">
        <is>
          <t>Duplicate selected indexes</t>
        </is>
      </c>
      <c r="F218" s="3" t="inlineStr">
        <is>
          <t>Valid comparison ID.</t>
        </is>
      </c>
      <c r="G218" s="3" t="inlineStr">
        <is>
          <t>Request selected=0,0,1.</t>
        </is>
      </c>
      <c r="H218" s="3" t="inlineStr">
        <is>
          <t>Output behavior is defined; duplicates do not cause corrupt report.</t>
        </is>
      </c>
      <c r="I218" s="3" t="inlineStr">
        <is>
          <t>Not executed — record observed result during execution.</t>
        </is>
      </c>
      <c r="J218" s="5" t="inlineStr">
        <is>
          <t>Not Run</t>
        </is>
      </c>
      <c r="K218" s="3" t="inlineStr">
        <is>
          <t>Not captured — attach screenshot path or evidence link after execution.</t>
        </is>
      </c>
    </row>
    <row r="219" ht="63" customHeight="1">
      <c r="A219" s="6" t="inlineStr">
        <is>
          <t>EXT-06</t>
        </is>
      </c>
      <c r="B219" s="7" t="inlineStr">
        <is>
          <t>API validation and HTTP contract boundaries</t>
        </is>
      </c>
      <c r="C219" s="8" t="inlineStr">
        <is>
          <t>TC-218</t>
        </is>
      </c>
      <c r="D219" s="7" t="inlineStr">
        <is>
          <t>P1</t>
        </is>
      </c>
      <c r="E219" s="7" t="inlineStr">
        <is>
          <t>Very long query string</t>
        </is>
      </c>
      <c r="F219" s="7" t="inlineStr">
        <is>
          <t>Valid comparison ID.</t>
        </is>
      </c>
      <c r="G219" s="7" t="inlineStr">
        <is>
          <t>Send oversized search/filter query.</t>
        </is>
      </c>
      <c r="H219" s="7" t="inlineStr">
        <is>
          <t>Request is bounded or rejected without excessive CPU/memory.</t>
        </is>
      </c>
      <c r="I219" s="7" t="inlineStr">
        <is>
          <t>Not executed — record observed result during execution.</t>
        </is>
      </c>
      <c r="J219" s="5" t="inlineStr">
        <is>
          <t>Not Run</t>
        </is>
      </c>
      <c r="K219" s="7" t="inlineStr">
        <is>
          <t>Not captured — attach screenshot path or evidence link after execution.</t>
        </is>
      </c>
    </row>
    <row r="220" ht="63" customHeight="1">
      <c r="A220" s="2" t="inlineStr">
        <is>
          <t>EXT-06</t>
        </is>
      </c>
      <c r="B220" s="3" t="inlineStr">
        <is>
          <t>API validation and HTTP contract boundaries</t>
        </is>
      </c>
      <c r="C220" s="4" t="inlineStr">
        <is>
          <t>TC-219</t>
        </is>
      </c>
      <c r="D220" s="3" t="inlineStr">
        <is>
          <t>P2</t>
        </is>
      </c>
      <c r="E220" s="3" t="inlineStr">
        <is>
          <t>HTTP method not allowed</t>
        </is>
      </c>
      <c r="F220" s="3" t="inlineStr">
        <is>
          <t>API running.</t>
        </is>
      </c>
      <c r="G220" s="3" t="inlineStr">
        <is>
          <t>Use PUT on read-only endpoint.</t>
        </is>
      </c>
      <c r="H220" s="3" t="inlineStr">
        <is>
          <t>HTTP 405 and API remains healthy.</t>
        </is>
      </c>
      <c r="I220" s="3" t="inlineStr">
        <is>
          <t>Not executed — record observed result during execution.</t>
        </is>
      </c>
      <c r="J220" s="5" t="inlineStr">
        <is>
          <t>Not Run</t>
        </is>
      </c>
      <c r="K220" s="3" t="inlineStr">
        <is>
          <t>Not captured — attach screenshot path or evidence link after execution.</t>
        </is>
      </c>
    </row>
    <row r="221" ht="63" customHeight="1">
      <c r="A221" s="6" t="inlineStr">
        <is>
          <t>EXT-06</t>
        </is>
      </c>
      <c r="B221" s="7" t="inlineStr">
        <is>
          <t>API validation and HTTP contract boundaries</t>
        </is>
      </c>
      <c r="C221" s="8" t="inlineStr">
        <is>
          <t>TC-220</t>
        </is>
      </c>
      <c r="D221" s="7" t="inlineStr">
        <is>
          <t>P2</t>
        </is>
      </c>
      <c r="E221" s="7" t="inlineStr">
        <is>
          <t>Unknown API route</t>
        </is>
      </c>
      <c r="F221" s="7" t="inlineStr">
        <is>
          <t>API running.</t>
        </is>
      </c>
      <c r="G221" s="7" t="inlineStr">
        <is>
          <t>GET /api/not-a-route.</t>
        </is>
      </c>
      <c r="H221" s="7" t="inlineStr">
        <is>
          <t>HTTP 404 with standard response.</t>
        </is>
      </c>
      <c r="I221" s="7" t="inlineStr">
        <is>
          <t>Not executed — record observed result during execution.</t>
        </is>
      </c>
      <c r="J221" s="5" t="inlineStr">
        <is>
          <t>Not Run</t>
        </is>
      </c>
      <c r="K221" s="7" t="inlineStr">
        <is>
          <t>Not captured — attach screenshot path or evidence link after execution.</t>
        </is>
      </c>
    </row>
    <row r="222" ht="63" customHeight="1">
      <c r="A222" s="2" t="inlineStr">
        <is>
          <t>EXT-06</t>
        </is>
      </c>
      <c r="B222" s="3" t="inlineStr">
        <is>
          <t>API validation and HTTP contract boundaries</t>
        </is>
      </c>
      <c r="C222" s="4" t="inlineStr">
        <is>
          <t>TC-221</t>
        </is>
      </c>
      <c r="D222" s="3" t="inlineStr">
        <is>
          <t>P1</t>
        </is>
      </c>
      <c r="E222" s="3" t="inlineStr">
        <is>
          <t>Invalid comparison identifier format</t>
        </is>
      </c>
      <c r="F222" s="3" t="inlineStr">
        <is>
          <t>API running.</t>
        </is>
      </c>
      <c r="G222" s="3" t="inlineStr">
        <is>
          <t>Use malformed comparison ID.</t>
        </is>
      </c>
      <c r="H222" s="3" t="inlineStr">
        <is>
          <t>HTTP 404; no path interpretation or server error.</t>
        </is>
      </c>
      <c r="I222" s="3" t="inlineStr">
        <is>
          <t>Not executed — record observed result during execution.</t>
        </is>
      </c>
      <c r="J222" s="5" t="inlineStr">
        <is>
          <t>Not Run</t>
        </is>
      </c>
      <c r="K222" s="3" t="inlineStr">
        <is>
          <t>Not captured — attach screenshot path or evidence link after execution.</t>
        </is>
      </c>
    </row>
    <row r="223" ht="63" customHeight="1">
      <c r="A223" s="6" t="inlineStr">
        <is>
          <t>EXT-06</t>
        </is>
      </c>
      <c r="B223" s="7" t="inlineStr">
        <is>
          <t>API validation and HTTP contract boundaries</t>
        </is>
      </c>
      <c r="C223" s="8" t="inlineStr">
        <is>
          <t>TC-222</t>
        </is>
      </c>
      <c r="D223" s="7" t="inlineStr">
        <is>
          <t>P2</t>
        </is>
      </c>
      <c r="E223" s="7" t="inlineStr">
        <is>
          <t>Repeated report download</t>
        </is>
      </c>
      <c r="F223" s="7" t="inlineStr">
        <is>
          <t>Valid comparison ID.</t>
        </is>
      </c>
      <c r="G223" s="7" t="inlineStr">
        <is>
          <t>Download same format repeatedly.</t>
        </is>
      </c>
      <c r="H223" s="7" t="inlineStr">
        <is>
          <t>Each response is complete and identical in content.</t>
        </is>
      </c>
      <c r="I223" s="7" t="inlineStr">
        <is>
          <t>Not executed — record observed result during execution.</t>
        </is>
      </c>
      <c r="J223" s="5" t="inlineStr">
        <is>
          <t>Not Run</t>
        </is>
      </c>
      <c r="K223" s="7" t="inlineStr">
        <is>
          <t>Not captured — attach screenshot path or evidence link after execution.</t>
        </is>
      </c>
    </row>
    <row r="224" ht="63" customHeight="1">
      <c r="A224" s="2" t="inlineStr">
        <is>
          <t>EXT-07</t>
        </is>
      </c>
      <c r="B224" s="3" t="inlineStr">
        <is>
          <t>Authentication, authorization and deployment security gates</t>
        </is>
      </c>
      <c r="C224" s="4" t="inlineStr">
        <is>
          <t>TC-223</t>
        </is>
      </c>
      <c r="D224" s="3" t="inlineStr">
        <is>
          <t>P0</t>
        </is>
      </c>
      <c r="E224" s="3" t="inlineStr">
        <is>
          <t>Unauthenticated upload policy</t>
        </is>
      </c>
      <c r="F224" s="3" t="inlineStr">
        <is>
          <t>Feature is deployed with authentication requirement enabled.</t>
        </is>
      </c>
      <c r="G224" s="3" t="inlineStr">
        <is>
          <t>POST preview without credentials.</t>
        </is>
      </c>
      <c r="H224" s="3" t="inlineStr">
        <is>
          <t>Unauthenticated access is rejected according to policy; note current build has no auth.</t>
        </is>
      </c>
      <c r="I224" s="3" t="inlineStr">
        <is>
          <t>Not executed — record observed result during execution.</t>
        </is>
      </c>
      <c r="J224" s="5" t="inlineStr">
        <is>
          <t>Not Run</t>
        </is>
      </c>
      <c r="K224" s="3" t="inlineStr">
        <is>
          <t>Not captured — attach screenshot path or evidence link after execution.</t>
        </is>
      </c>
    </row>
    <row r="225" ht="63" customHeight="1">
      <c r="A225" s="6" t="inlineStr">
        <is>
          <t>EXT-07</t>
        </is>
      </c>
      <c r="B225" s="7" t="inlineStr">
        <is>
          <t>Authentication, authorization and deployment security gates</t>
        </is>
      </c>
      <c r="C225" s="8" t="inlineStr">
        <is>
          <t>TC-224</t>
        </is>
      </c>
      <c r="D225" s="7" t="inlineStr">
        <is>
          <t>P0</t>
        </is>
      </c>
      <c r="E225" s="7" t="inlineStr">
        <is>
          <t>Unauthenticated compare policy</t>
        </is>
      </c>
      <c r="F225" s="7" t="inlineStr">
        <is>
          <t>Authentication requirement enabled.</t>
        </is>
      </c>
      <c r="G225" s="7" t="inlineStr">
        <is>
          <t>POST compare without credentials.</t>
        </is>
      </c>
      <c r="H225" s="7" t="inlineStr">
        <is>
          <t>Request is rejected; no run is created.</t>
        </is>
      </c>
      <c r="I225" s="7" t="inlineStr">
        <is>
          <t>Not executed — record observed result during execution.</t>
        </is>
      </c>
      <c r="J225" s="5" t="inlineStr">
        <is>
          <t>Not Run</t>
        </is>
      </c>
      <c r="K225" s="7" t="inlineStr">
        <is>
          <t>Not captured — attach screenshot path or evidence link after execution.</t>
        </is>
      </c>
    </row>
    <row r="226" ht="63" customHeight="1">
      <c r="A226" s="2" t="inlineStr">
        <is>
          <t>EXT-07</t>
        </is>
      </c>
      <c r="B226" s="3" t="inlineStr">
        <is>
          <t>Authentication, authorization and deployment security gates</t>
        </is>
      </c>
      <c r="C226" s="4" t="inlineStr">
        <is>
          <t>TC-225</t>
        </is>
      </c>
      <c r="D226" s="3" t="inlineStr">
        <is>
          <t>P0</t>
        </is>
      </c>
      <c r="E226" s="3" t="inlineStr">
        <is>
          <t>Cross-user comparison isolation</t>
        </is>
      </c>
      <c r="F226" s="3" t="inlineStr">
        <is>
          <t>Two authenticated test users and separate runs.</t>
        </is>
      </c>
      <c r="G226" s="3" t="inlineStr">
        <is>
          <t>User B requests User A comparison ID.</t>
        </is>
      </c>
      <c r="H226" s="3" t="inlineStr">
        <is>
          <t>Authorization prevents cross-user access; note current in-memory store has no user ownership.</t>
        </is>
      </c>
      <c r="I226" s="3" t="inlineStr">
        <is>
          <t>Not executed — record observed result during execution.</t>
        </is>
      </c>
      <c r="J226" s="5" t="inlineStr">
        <is>
          <t>Not Run</t>
        </is>
      </c>
      <c r="K226" s="3" t="inlineStr">
        <is>
          <t>Not captured — attach screenshot path or evidence link after execution.</t>
        </is>
      </c>
    </row>
    <row r="227" ht="63" customHeight="1">
      <c r="A227" s="6" t="inlineStr">
        <is>
          <t>EXT-07</t>
        </is>
      </c>
      <c r="B227" s="7" t="inlineStr">
        <is>
          <t>Authentication, authorization and deployment security gates</t>
        </is>
      </c>
      <c r="C227" s="8" t="inlineStr">
        <is>
          <t>TC-226</t>
        </is>
      </c>
      <c r="D227" s="7" t="inlineStr">
        <is>
          <t>P0</t>
        </is>
      </c>
      <c r="E227" s="7" t="inlineStr">
        <is>
          <t>Cross-user report isolation</t>
        </is>
      </c>
      <c r="F227" s="7" t="inlineStr">
        <is>
          <t>Two authenticated test users.</t>
        </is>
      </c>
      <c r="G227" s="7" t="inlineStr">
        <is>
          <t>User B requests User A report ID.</t>
        </is>
      </c>
      <c r="H227" s="7" t="inlineStr">
        <is>
          <t>Report access is denied according to tenant policy.</t>
        </is>
      </c>
      <c r="I227" s="7" t="inlineStr">
        <is>
          <t>Not executed — record observed result during execution.</t>
        </is>
      </c>
      <c r="J227" s="5" t="inlineStr">
        <is>
          <t>Not Run</t>
        </is>
      </c>
      <c r="K227" s="7" t="inlineStr">
        <is>
          <t>Not captured — attach screenshot path or evidence link after execution.</t>
        </is>
      </c>
    </row>
    <row r="228" ht="63" customHeight="1">
      <c r="A228" s="2" t="inlineStr">
        <is>
          <t>EXT-07</t>
        </is>
      </c>
      <c r="B228" s="3" t="inlineStr">
        <is>
          <t>Authentication, authorization and deployment security gates</t>
        </is>
      </c>
      <c r="C228" s="4" t="inlineStr">
        <is>
          <t>TC-227</t>
        </is>
      </c>
      <c r="D228" s="3" t="inlineStr">
        <is>
          <t>P1</t>
        </is>
      </c>
      <c r="E228" s="3" t="inlineStr">
        <is>
          <t>CORS allowed origin</t>
        </is>
      </c>
      <c r="F228" s="3" t="inlineStr">
        <is>
          <t>FRONTEND_ORIGINS configured for test frontend.</t>
        </is>
      </c>
      <c r="G228" s="3" t="inlineStr">
        <is>
          <t>Send OPTIONS with allowed Origin.</t>
        </is>
      </c>
      <c r="H228" s="3" t="inlineStr">
        <is>
          <t>Preflight permits only configured frontend origin.</t>
        </is>
      </c>
      <c r="I228" s="3" t="inlineStr">
        <is>
          <t>Not executed — record observed result during execution.</t>
        </is>
      </c>
      <c r="J228" s="5" t="inlineStr">
        <is>
          <t>Not Run</t>
        </is>
      </c>
      <c r="K228" s="3" t="inlineStr">
        <is>
          <t>Not captured — attach screenshot path or evidence link after execution.</t>
        </is>
      </c>
    </row>
    <row r="229" ht="63" customHeight="1">
      <c r="A229" s="6" t="inlineStr">
        <is>
          <t>EXT-07</t>
        </is>
      </c>
      <c r="B229" s="7" t="inlineStr">
        <is>
          <t>Authentication, authorization and deployment security gates</t>
        </is>
      </c>
      <c r="C229" s="8" t="inlineStr">
        <is>
          <t>TC-228</t>
        </is>
      </c>
      <c r="D229" s="7" t="inlineStr">
        <is>
          <t>P1</t>
        </is>
      </c>
      <c r="E229" s="7" t="inlineStr">
        <is>
          <t>CORS rejected origin</t>
        </is>
      </c>
      <c r="F229" s="7" t="inlineStr">
        <is>
          <t>API is deployed with explicit origin allowlist.</t>
        </is>
      </c>
      <c r="G229" s="7" t="inlineStr">
        <is>
          <t>Send preflight from untrusted origin.</t>
        </is>
      </c>
      <c r="H229" s="7" t="inlineStr">
        <is>
          <t>Untrusted origin is not granted CORS access.</t>
        </is>
      </c>
      <c r="I229" s="7" t="inlineStr">
        <is>
          <t>Not executed — record observed result during execution.</t>
        </is>
      </c>
      <c r="J229" s="5" t="inlineStr">
        <is>
          <t>Not Run</t>
        </is>
      </c>
      <c r="K229" s="7" t="inlineStr">
        <is>
          <t>Not captured — attach screenshot path or evidence link after execution.</t>
        </is>
      </c>
    </row>
    <row r="230" ht="63" customHeight="1">
      <c r="A230" s="2" t="inlineStr">
        <is>
          <t>EXT-07</t>
        </is>
      </c>
      <c r="B230" s="3" t="inlineStr">
        <is>
          <t>Authentication, authorization and deployment security gates</t>
        </is>
      </c>
      <c r="C230" s="4" t="inlineStr">
        <is>
          <t>TC-229</t>
        </is>
      </c>
      <c r="D230" s="3" t="inlineStr">
        <is>
          <t>P1</t>
        </is>
      </c>
      <c r="E230" s="3" t="inlineStr">
        <is>
          <t>Security headers</t>
        </is>
      </c>
      <c r="F230" s="3" t="inlineStr">
        <is>
          <t>Production-like deployment.</t>
        </is>
      </c>
      <c r="G230" s="3" t="inlineStr">
        <is>
          <t>Inspect API and SPA response headers.</t>
        </is>
      </c>
      <c r="H230" s="3" t="inlineStr">
        <is>
          <t>Required security headers match deployment baseline.</t>
        </is>
      </c>
      <c r="I230" s="3" t="inlineStr">
        <is>
          <t>Not executed — record observed result during execution.</t>
        </is>
      </c>
      <c r="J230" s="5" t="inlineStr">
        <is>
          <t>Not Run</t>
        </is>
      </c>
      <c r="K230" s="3" t="inlineStr">
        <is>
          <t>Not captured — attach screenshot path or evidence link after execution.</t>
        </is>
      </c>
    </row>
    <row r="231" ht="63" customHeight="1">
      <c r="A231" s="6" t="inlineStr">
        <is>
          <t>EXT-07</t>
        </is>
      </c>
      <c r="B231" s="7" t="inlineStr">
        <is>
          <t>Authentication, authorization and deployment security gates</t>
        </is>
      </c>
      <c r="C231" s="8" t="inlineStr">
        <is>
          <t>TC-230</t>
        </is>
      </c>
      <c r="D231" s="7" t="inlineStr">
        <is>
          <t>P1</t>
        </is>
      </c>
      <c r="E231" s="7" t="inlineStr">
        <is>
          <t>TLS-only production access</t>
        </is>
      </c>
      <c r="F231" s="7" t="inlineStr">
        <is>
          <t>HTTPS staging deployment.</t>
        </is>
      </c>
      <c r="G231" s="7" t="inlineStr">
        <is>
          <t>Request app/API over HTTP and HTTPS.</t>
        </is>
      </c>
      <c r="H231" s="7" t="inlineStr">
        <is>
          <t>Sensitive traffic is redirected or refused over HTTP per policy.</t>
        </is>
      </c>
      <c r="I231" s="7" t="inlineStr">
        <is>
          <t>Not executed — record observed result during execution.</t>
        </is>
      </c>
      <c r="J231" s="5" t="inlineStr">
        <is>
          <t>Not Run</t>
        </is>
      </c>
      <c r="K231" s="7" t="inlineStr">
        <is>
          <t>Not captured — attach screenshot path or evidence link after execution.</t>
        </is>
      </c>
    </row>
    <row r="232" ht="63" customHeight="1">
      <c r="A232" s="2" t="inlineStr">
        <is>
          <t>EXT-07</t>
        </is>
      </c>
      <c r="B232" s="3" t="inlineStr">
        <is>
          <t>Authentication, authorization and deployment security gates</t>
        </is>
      </c>
      <c r="C232" s="4" t="inlineStr">
        <is>
          <t>TC-231</t>
        </is>
      </c>
      <c r="D232" s="3" t="inlineStr">
        <is>
          <t>P1</t>
        </is>
      </c>
      <c r="E232" s="3" t="inlineStr">
        <is>
          <t>Secrets absent from frontend bundle</t>
        </is>
      </c>
      <c r="F232" s="3" t="inlineStr">
        <is>
          <t>Production frontend build produced.</t>
        </is>
      </c>
      <c r="G232" s="3" t="inlineStr">
        <is>
          <t>Inspect built assets for credentials/private configuration.</t>
        </is>
      </c>
      <c r="H232" s="3" t="inlineStr">
        <is>
          <t>No secrets or server-only credentials appear in browser assets.</t>
        </is>
      </c>
      <c r="I232" s="3" t="inlineStr">
        <is>
          <t>Not executed — record observed result during execution.</t>
        </is>
      </c>
      <c r="J232" s="5" t="inlineStr">
        <is>
          <t>Not Run</t>
        </is>
      </c>
      <c r="K232" s="3" t="inlineStr">
        <is>
          <t>Not captured — attach screenshot path or evidence link after execution.</t>
        </is>
      </c>
    </row>
    <row r="233" ht="63" customHeight="1">
      <c r="A233" s="6" t="inlineStr">
        <is>
          <t>EXT-07</t>
        </is>
      </c>
      <c r="B233" s="7" t="inlineStr">
        <is>
          <t>Authentication, authorization and deployment security gates</t>
        </is>
      </c>
      <c r="C233" s="8" t="inlineStr">
        <is>
          <t>TC-232</t>
        </is>
      </c>
      <c r="D233" s="7" t="inlineStr">
        <is>
          <t>P1</t>
        </is>
      </c>
      <c r="E233" s="7" t="inlineStr">
        <is>
          <t>Upload filename path traversal</t>
        </is>
      </c>
      <c r="F233" s="7" t="inlineStr">
        <is>
          <t>Test environment.</t>
        </is>
      </c>
      <c r="G233" s="7" t="inlineStr">
        <is>
          <t>Upload filename containing ../, drive prefix or encoded separators.</t>
        </is>
      </c>
      <c r="H233" s="7" t="inlineStr">
        <is>
          <t>Filename is never used as an unsafe filesystem path.</t>
        </is>
      </c>
      <c r="I233" s="7" t="inlineStr">
        <is>
          <t>Not executed — record observed result during execution.</t>
        </is>
      </c>
      <c r="J233" s="5" t="inlineStr">
        <is>
          <t>Not Run</t>
        </is>
      </c>
      <c r="K233" s="7" t="inlineStr">
        <is>
          <t>Not captured — attach screenshot path or evidence link after execution.</t>
        </is>
      </c>
    </row>
    <row r="234" ht="63" customHeight="1">
      <c r="A234" s="2" t="inlineStr">
        <is>
          <t>EXT-07</t>
        </is>
      </c>
      <c r="B234" s="3" t="inlineStr">
        <is>
          <t>Authentication, authorization and deployment security gates</t>
        </is>
      </c>
      <c r="C234" s="4" t="inlineStr">
        <is>
          <t>TC-233</t>
        </is>
      </c>
      <c r="D234" s="3" t="inlineStr">
        <is>
          <t>P1</t>
        </is>
      </c>
      <c r="E234" s="3" t="inlineStr">
        <is>
          <t>Oversized multipart request</t>
        </is>
      </c>
      <c r="F234" s="3" t="inlineStr">
        <is>
          <t>Test environment with limits configured.</t>
        </is>
      </c>
      <c r="G234" s="3" t="inlineStr">
        <is>
          <t>Send a request exceeding server/proxy body limit.</t>
        </is>
      </c>
      <c r="H234" s="3" t="inlineStr">
        <is>
          <t>Request rejected early with controlled status and bounded resource use.</t>
        </is>
      </c>
      <c r="I234" s="3" t="inlineStr">
        <is>
          <t>Not executed — record observed result during execution.</t>
        </is>
      </c>
      <c r="J234" s="5" t="inlineStr">
        <is>
          <t>Not Run</t>
        </is>
      </c>
      <c r="K234" s="3" t="inlineStr">
        <is>
          <t>Not captured — attach screenshot path or evidence link after execution.</t>
        </is>
      </c>
    </row>
    <row r="235" ht="63" customHeight="1">
      <c r="A235" s="6" t="inlineStr">
        <is>
          <t>EXT-07</t>
        </is>
      </c>
      <c r="B235" s="7" t="inlineStr">
        <is>
          <t>Authentication, authorization and deployment security gates</t>
        </is>
      </c>
      <c r="C235" s="8" t="inlineStr">
        <is>
          <t>TC-234</t>
        </is>
      </c>
      <c r="D235" s="7" t="inlineStr">
        <is>
          <t>P2</t>
        </is>
      </c>
      <c r="E235" s="7" t="inlineStr">
        <is>
          <t>MIME type spoofing</t>
        </is>
      </c>
      <c r="F235" s="7" t="inlineStr">
        <is>
          <t>Supported extension with mismatched content type.</t>
        </is>
      </c>
      <c r="G235" s="7" t="inlineStr">
        <is>
          <t>Upload spoofed file.</t>
        </is>
      </c>
      <c r="H235" s="7" t="inlineStr">
        <is>
          <t>Server validates actual parsing and returns safe error for incompatible data.</t>
        </is>
      </c>
      <c r="I235" s="7" t="inlineStr">
        <is>
          <t>Not executed — record observed result during execution.</t>
        </is>
      </c>
      <c r="J235" s="5" t="inlineStr">
        <is>
          <t>Not Run</t>
        </is>
      </c>
      <c r="K235" s="7" t="inlineStr">
        <is>
          <t>Not captured — attach screenshot path or evidence link after execution.</t>
        </is>
      </c>
    </row>
    <row r="236" ht="63" customHeight="1">
      <c r="A236" s="2" t="inlineStr">
        <is>
          <t>EXT-07</t>
        </is>
      </c>
      <c r="B236" s="3" t="inlineStr">
        <is>
          <t>Authentication, authorization and deployment security gates</t>
        </is>
      </c>
      <c r="C236" s="4" t="inlineStr">
        <is>
          <t>TC-235</t>
        </is>
      </c>
      <c r="D236" s="3" t="inlineStr">
        <is>
          <t>P1</t>
        </is>
      </c>
      <c r="E236" s="3" t="inlineStr">
        <is>
          <t>CSV formula injection</t>
        </is>
      </c>
      <c r="F236" s="3" t="inlineStr">
        <is>
          <t>Exception includes formula-like text.</t>
        </is>
      </c>
      <c r="G236" s="3" t="inlineStr">
        <is>
          <t>Export CSV and open in isolated spreadsheet viewer.</t>
        </is>
      </c>
      <c r="H236" s="3" t="inlineStr">
        <is>
          <t>Formula injection is neutralized or risk is explicitly accepted and documented.</t>
        </is>
      </c>
      <c r="I236" s="3" t="inlineStr">
        <is>
          <t>Not executed — record observed result during execution.</t>
        </is>
      </c>
      <c r="J236" s="5" t="inlineStr">
        <is>
          <t>Not Run</t>
        </is>
      </c>
      <c r="K236" s="3" t="inlineStr">
        <is>
          <t>Not captured — attach screenshot path or evidence link after execution.</t>
        </is>
      </c>
    </row>
    <row r="237" ht="63" customHeight="1">
      <c r="A237" s="6" t="inlineStr">
        <is>
          <t>EXT-07</t>
        </is>
      </c>
      <c r="B237" s="7" t="inlineStr">
        <is>
          <t>Authentication, authorization and deployment security gates</t>
        </is>
      </c>
      <c r="C237" s="8" t="inlineStr">
        <is>
          <t>TC-236</t>
        </is>
      </c>
      <c r="D237" s="7" t="inlineStr">
        <is>
          <t>P1</t>
        </is>
      </c>
      <c r="E237" s="7" t="inlineStr">
        <is>
          <t>XLSX formula injection</t>
        </is>
      </c>
      <c r="F237" s="7" t="inlineStr">
        <is>
          <t>Exception includes formula-like text.</t>
        </is>
      </c>
      <c r="G237" s="7" t="inlineStr">
        <is>
          <t>Export XLSX and inspect cell type/formula.</t>
        </is>
      </c>
      <c r="H237" s="7" t="inlineStr">
        <is>
          <t>Untrusted strings are written as text, not executable formulas.</t>
        </is>
      </c>
      <c r="I237" s="7" t="inlineStr">
        <is>
          <t>Not executed — record observed result during execution.</t>
        </is>
      </c>
      <c r="J237" s="5" t="inlineStr">
        <is>
          <t>Not Run</t>
        </is>
      </c>
      <c r="K237" s="7" t="inlineStr">
        <is>
          <t>Not captured — attach screenshot path or evidence link after execution.</t>
        </is>
      </c>
    </row>
    <row r="238" ht="63" customHeight="1">
      <c r="A238" s="2" t="inlineStr">
        <is>
          <t>EXT-07</t>
        </is>
      </c>
      <c r="B238" s="3" t="inlineStr">
        <is>
          <t>Authentication, authorization and deployment security gates</t>
        </is>
      </c>
      <c r="C238" s="4" t="inlineStr">
        <is>
          <t>TC-237</t>
        </is>
      </c>
      <c r="D238" s="3" t="inlineStr">
        <is>
          <t>P2</t>
        </is>
      </c>
      <c r="E238" s="3" t="inlineStr">
        <is>
          <t>Error response information disclosure</t>
        </is>
      </c>
      <c r="F238" s="3" t="inlineStr">
        <is>
          <t>Trigger parser/validation/internal errors.</t>
        </is>
      </c>
      <c r="G238" s="3" t="inlineStr">
        <is>
          <t>Inspect client responses.</t>
        </is>
      </c>
      <c r="H238" s="3" t="inlineStr">
        <is>
          <t>No stack trace, local paths, environment variables or secrets returned.</t>
        </is>
      </c>
      <c r="I238" s="3" t="inlineStr">
        <is>
          <t>Not executed — record observed result during execution.</t>
        </is>
      </c>
      <c r="J238" s="5" t="inlineStr">
        <is>
          <t>Not Run</t>
        </is>
      </c>
      <c r="K238" s="3" t="inlineStr">
        <is>
          <t>Not captured — attach screenshot path or evidence link after execution.</t>
        </is>
      </c>
    </row>
    <row r="239" ht="63" customHeight="1">
      <c r="A239" s="6" t="inlineStr">
        <is>
          <t>EXT-07</t>
        </is>
      </c>
      <c r="B239" s="7" t="inlineStr">
        <is>
          <t>Authentication, authorization and deployment security gates</t>
        </is>
      </c>
      <c r="C239" s="8" t="inlineStr">
        <is>
          <t>TC-238</t>
        </is>
      </c>
      <c r="D239" s="7" t="inlineStr">
        <is>
          <t>P2</t>
        </is>
      </c>
      <c r="E239" s="7" t="inlineStr">
        <is>
          <t>Sensitive data logging</t>
        </is>
      </c>
      <c r="F239" s="7" t="inlineStr">
        <is>
          <t>Enable application logs in test.</t>
        </is>
      </c>
      <c r="G239" s="7" t="inlineStr">
        <is>
          <t>Upload synthetic sensitive-looking values and force error.</t>
        </is>
      </c>
      <c r="H239" s="7" t="inlineStr">
        <is>
          <t>Logs omit or mask row values and sensitive file content.</t>
        </is>
      </c>
      <c r="I239" s="7" t="inlineStr">
        <is>
          <t>Not executed — record observed result during execution.</t>
        </is>
      </c>
      <c r="J239" s="5" t="inlineStr">
        <is>
          <t>Not Run</t>
        </is>
      </c>
      <c r="K239" s="7" t="inlineStr">
        <is>
          <t>Not captured — attach screenshot path or evidence link after execution.</t>
        </is>
      </c>
    </row>
    <row r="240" ht="63" customHeight="1">
      <c r="A240" s="2" t="inlineStr">
        <is>
          <t>EXT-07</t>
        </is>
      </c>
      <c r="B240" s="3" t="inlineStr">
        <is>
          <t>Authentication, authorization and deployment security gates</t>
        </is>
      </c>
      <c r="C240" s="4" t="inlineStr">
        <is>
          <t>TC-239</t>
        </is>
      </c>
      <c r="D240" s="3" t="inlineStr">
        <is>
          <t>P1</t>
        </is>
      </c>
      <c r="E240" s="3" t="inlineStr">
        <is>
          <t>Dependency vulnerability gate</t>
        </is>
      </c>
      <c r="F240" s="3" t="inlineStr">
        <is>
          <t>Build environment has dependency audit tools.</t>
        </is>
      </c>
      <c r="G240" s="3" t="inlineStr">
        <is>
          <t>Run frontend and backend dependency scans.</t>
        </is>
      </c>
      <c r="H240" s="3" t="inlineStr">
        <is>
          <t>No unaccepted critical/high vulnerabilities; exceptions are recorded with owner.</t>
        </is>
      </c>
      <c r="I240" s="3" t="inlineStr">
        <is>
          <t>Not executed — record observed result during execution.</t>
        </is>
      </c>
      <c r="J240" s="5" t="inlineStr">
        <is>
          <t>Not Run</t>
        </is>
      </c>
      <c r="K240" s="3" t="inlineStr">
        <is>
          <t>Not captured — attach screenshot path or evidence link after execution.</t>
        </is>
      </c>
    </row>
    <row r="241" ht="63" customHeight="1">
      <c r="A241" s="6" t="inlineStr">
        <is>
          <t>EXT-07</t>
        </is>
      </c>
      <c r="B241" s="7" t="inlineStr">
        <is>
          <t>Authentication, authorization and deployment security gates</t>
        </is>
      </c>
      <c r="C241" s="8" t="inlineStr">
        <is>
          <t>TC-240</t>
        </is>
      </c>
      <c r="D241" s="7" t="inlineStr">
        <is>
          <t>P1</t>
        </is>
      </c>
      <c r="E241" s="7" t="inlineStr">
        <is>
          <t>Production debug and reload disabled</t>
        </is>
      </c>
      <c r="F241" s="7" t="inlineStr">
        <is>
          <t>Production-like deployment configuration.</t>
        </is>
      </c>
      <c r="G241" s="7" t="inlineStr">
        <is>
          <t>Inspect process command and error pages.</t>
        </is>
      </c>
      <c r="H241" s="7" t="inlineStr">
        <is>
          <t>Debug/reload mode is disabled and internal diagnostics are not exposed.</t>
        </is>
      </c>
      <c r="I241" s="7" t="inlineStr">
        <is>
          <t>Not executed — record observed result during execution.</t>
        </is>
      </c>
      <c r="J241" s="5" t="inlineStr">
        <is>
          <t>Not Run</t>
        </is>
      </c>
      <c r="K241" s="7" t="inlineStr">
        <is>
          <t>Not captured — attach screenshot path or evidence link after execution.</t>
        </is>
      </c>
    </row>
    <row r="242" ht="63" customHeight="1">
      <c r="A242" s="2" t="inlineStr">
        <is>
          <t>EXT-08</t>
        </is>
      </c>
      <c r="B242" s="3" t="inlineStr">
        <is>
          <t>Frontend loading, stale state and error recovery</t>
        </is>
      </c>
      <c r="C242" s="4" t="inlineStr">
        <is>
          <t>TC-241</t>
        </is>
      </c>
      <c r="D242" s="3" t="inlineStr">
        <is>
          <t>P1</t>
        </is>
      </c>
      <c r="E242" s="3" t="inlineStr">
        <is>
          <t>Double-click compare</t>
        </is>
      </c>
      <c r="F242" s="3" t="inlineStr">
        <is>
          <t>Valid large files loaded.</t>
        </is>
      </c>
      <c r="G242" s="3" t="inlineStr">
        <is>
          <t>Click Run comparison repeatedly during request.</t>
        </is>
      </c>
      <c r="H242" s="3" t="inlineStr">
        <is>
          <t>Only one active comparison request is submitted or duplicates are safely handled.</t>
        </is>
      </c>
      <c r="I242" s="3" t="inlineStr">
        <is>
          <t>Not executed — record observed result during execution.</t>
        </is>
      </c>
      <c r="J242" s="5" t="inlineStr">
        <is>
          <t>Not Run</t>
        </is>
      </c>
      <c r="K242" s="3" t="inlineStr">
        <is>
          <t>Not captured — attach screenshot path or evidence link after execution.</t>
        </is>
      </c>
    </row>
    <row r="243" ht="63" customHeight="1">
      <c r="A243" s="6" t="inlineStr">
        <is>
          <t>EXT-08</t>
        </is>
      </c>
      <c r="B243" s="7" t="inlineStr">
        <is>
          <t>Frontend loading, stale state and error recovery</t>
        </is>
      </c>
      <c r="C243" s="8" t="inlineStr">
        <is>
          <t>TC-242</t>
        </is>
      </c>
      <c r="D243" s="7" t="inlineStr">
        <is>
          <t>P2</t>
        </is>
      </c>
      <c r="E243" s="7" t="inlineStr">
        <is>
          <t>Replace file during preview request</t>
        </is>
      </c>
      <c r="F243" s="7" t="inlineStr">
        <is>
          <t>Network throttling enabled.</t>
        </is>
      </c>
      <c r="G243" s="7" t="inlineStr">
        <is>
          <t>Select source file A then quickly source file B.</t>
        </is>
      </c>
      <c r="H243" s="7" t="inlineStr">
        <is>
          <t>Final preview belongs to B; late response for A does not overwrite current selection.</t>
        </is>
      </c>
      <c r="I243" s="7" t="inlineStr">
        <is>
          <t>Not executed — record observed result during execution.</t>
        </is>
      </c>
      <c r="J243" s="5" t="inlineStr">
        <is>
          <t>Not Run</t>
        </is>
      </c>
      <c r="K243" s="7" t="inlineStr">
        <is>
          <t>Not captured — attach screenshot path or evidence link after execution.</t>
        </is>
      </c>
    </row>
    <row r="244" ht="63" customHeight="1">
      <c r="A244" s="2" t="inlineStr">
        <is>
          <t>EXT-08</t>
        </is>
      </c>
      <c r="B244" s="3" t="inlineStr">
        <is>
          <t>Frontend loading, stale state and error recovery</t>
        </is>
      </c>
      <c r="C244" s="4" t="inlineStr">
        <is>
          <t>TC-243</t>
        </is>
      </c>
      <c r="D244" s="3" t="inlineStr">
        <is>
          <t>P2</t>
        </is>
      </c>
      <c r="E244" s="3" t="inlineStr">
        <is>
          <t>Rapidly switch source and target files</t>
        </is>
      </c>
      <c r="F244" s="3" t="inlineStr">
        <is>
          <t>Several valid files prepared.</t>
        </is>
      </c>
      <c r="G244" s="3" t="inlineStr">
        <is>
          <t>Change both uploads while previews are in flight.</t>
        </is>
      </c>
      <c r="H244" s="3" t="inlineStr">
        <is>
          <t>Each preview remains associated with correct file side.</t>
        </is>
      </c>
      <c r="I244" s="3" t="inlineStr">
        <is>
          <t>Not executed — record observed result during execution.</t>
        </is>
      </c>
      <c r="J244" s="5" t="inlineStr">
        <is>
          <t>Not Run</t>
        </is>
      </c>
      <c r="K244" s="3" t="inlineStr">
        <is>
          <t>Not captured — attach screenshot path or evidence link after execution.</t>
        </is>
      </c>
    </row>
    <row r="245" ht="63" customHeight="1">
      <c r="A245" s="6" t="inlineStr">
        <is>
          <t>EXT-08</t>
        </is>
      </c>
      <c r="B245" s="7" t="inlineStr">
        <is>
          <t>Frontend loading, stale state and error recovery</t>
        </is>
      </c>
      <c r="C245" s="8" t="inlineStr">
        <is>
          <t>TC-244</t>
        </is>
      </c>
      <c r="D245" s="7" t="inlineStr">
        <is>
          <t>P1</t>
        </is>
      </c>
      <c r="E245" s="7" t="inlineStr">
        <is>
          <t>Preview request failure after file selected</t>
        </is>
      </c>
      <c r="F245" s="7" t="inlineStr">
        <is>
          <t>API returns error for preview.</t>
        </is>
      </c>
      <c r="G245" s="7" t="inlineStr">
        <is>
          <t>Select an unreadable file.</t>
        </is>
      </c>
      <c r="H245" s="7" t="inlineStr">
        <is>
          <t>Failed file is cleared or clearly marked invalid; compare remains disabled.</t>
        </is>
      </c>
      <c r="I245" s="7" t="inlineStr">
        <is>
          <t>Not executed — record observed result during execution.</t>
        </is>
      </c>
      <c r="J245" s="5" t="inlineStr">
        <is>
          <t>Not Run</t>
        </is>
      </c>
      <c r="K245" s="7" t="inlineStr">
        <is>
          <t>Not captured — attach screenshot path or evidence link after execution.</t>
        </is>
      </c>
    </row>
    <row r="246" ht="63" customHeight="1">
      <c r="A246" s="2" t="inlineStr">
        <is>
          <t>EXT-08</t>
        </is>
      </c>
      <c r="B246" s="3" t="inlineStr">
        <is>
          <t>Frontend loading, stale state and error recovery</t>
        </is>
      </c>
      <c r="C246" s="4" t="inlineStr">
        <is>
          <t>TC-245</t>
        </is>
      </c>
      <c r="D246" s="3" t="inlineStr">
        <is>
          <t>P1</t>
        </is>
      </c>
      <c r="E246" s="3" t="inlineStr">
        <is>
          <t>Compare request failure after previous success</t>
        </is>
      </c>
      <c r="F246" s="3" t="inlineStr">
        <is>
          <t>First comparison succeeds; second request is forced to fail.</t>
        </is>
      </c>
      <c r="G246" s="3" t="inlineStr">
        <is>
          <t>Run second comparison.</t>
        </is>
      </c>
      <c r="H246" s="3" t="inlineStr">
        <is>
          <t>Previous result is not presented as the new run; failure is explicit.</t>
        </is>
      </c>
      <c r="I246" s="3" t="inlineStr">
        <is>
          <t>Not executed — record observed result during execution.</t>
        </is>
      </c>
      <c r="J246" s="5" t="inlineStr">
        <is>
          <t>Not Run</t>
        </is>
      </c>
      <c r="K246" s="3" t="inlineStr">
        <is>
          <t>Not captured — attach screenshot path or evidence link after execution.</t>
        </is>
      </c>
    </row>
    <row r="247" ht="63" customHeight="1">
      <c r="A247" s="6" t="inlineStr">
        <is>
          <t>EXT-08</t>
        </is>
      </c>
      <c r="B247" s="7" t="inlineStr">
        <is>
          <t>Frontend loading, stale state and error recovery</t>
        </is>
      </c>
      <c r="C247" s="8" t="inlineStr">
        <is>
          <t>TC-246</t>
        </is>
      </c>
      <c r="D247" s="7" t="inlineStr">
        <is>
          <t>P2</t>
        </is>
      </c>
      <c r="E247" s="7" t="inlineStr">
        <is>
          <t>Result page request fails</t>
        </is>
      </c>
      <c r="F247" s="7" t="inlineStr">
        <is>
          <t>Comparison exists; make results endpoint return error.</t>
        </is>
      </c>
      <c r="G247" s="7" t="inlineStr">
        <is>
          <t>Navigate result page or apply filter.</t>
        </is>
      </c>
      <c r="H247" s="7" t="inlineStr">
        <is>
          <t>Loading indicator ends; an error is shown and app remains usable.</t>
        </is>
      </c>
      <c r="I247" s="7" t="inlineStr">
        <is>
          <t>Not executed — record observed result during execution.</t>
        </is>
      </c>
      <c r="J247" s="5" t="inlineStr">
        <is>
          <t>Not Run</t>
        </is>
      </c>
      <c r="K247" s="7" t="inlineStr">
        <is>
          <t>Not captured — attach screenshot path or evidence link after execution.</t>
        </is>
      </c>
    </row>
    <row r="248" ht="63" customHeight="1">
      <c r="A248" s="2" t="inlineStr">
        <is>
          <t>EXT-08</t>
        </is>
      </c>
      <c r="B248" s="3" t="inlineStr">
        <is>
          <t>Frontend loading, stale state and error recovery</t>
        </is>
      </c>
      <c r="C248" s="4" t="inlineStr">
        <is>
          <t>TC-247</t>
        </is>
      </c>
      <c r="D248" s="3" t="inlineStr">
        <is>
          <t>P2</t>
        </is>
      </c>
      <c r="E248" s="3" t="inlineStr">
        <is>
          <t>Rapid filter changes</t>
        </is>
      </c>
      <c r="F248" s="3" t="inlineStr">
        <is>
          <t>Large result set.</t>
        </is>
      </c>
      <c r="G248" s="3" t="inlineStr">
        <is>
          <t>Type a search quickly and change status/column filters.</t>
        </is>
      </c>
      <c r="H248" s="3" t="inlineStr">
        <is>
          <t>Final response corresponds to latest filters; stale responses do not overwrite newer results.</t>
        </is>
      </c>
      <c r="I248" s="3" t="inlineStr">
        <is>
          <t>Not executed — record observed result during execution.</t>
        </is>
      </c>
      <c r="J248" s="5" t="inlineStr">
        <is>
          <t>Not Run</t>
        </is>
      </c>
      <c r="K248" s="3" t="inlineStr">
        <is>
          <t>Not captured — attach screenshot path or evidence link after execution.</t>
        </is>
      </c>
    </row>
    <row r="249" ht="63" customHeight="1">
      <c r="A249" s="6" t="inlineStr">
        <is>
          <t>EXT-08</t>
        </is>
      </c>
      <c r="B249" s="7" t="inlineStr">
        <is>
          <t>Frontend loading, stale state and error recovery</t>
        </is>
      </c>
      <c r="C249" s="8" t="inlineStr">
        <is>
          <t>TC-248</t>
        </is>
      </c>
      <c r="D249" s="7" t="inlineStr">
        <is>
          <t>P2</t>
        </is>
      </c>
      <c r="E249" s="7" t="inlineStr">
        <is>
          <t>Navigate during comparison</t>
        </is>
      </c>
      <c r="F249" s="7" t="inlineStr">
        <is>
          <t>Large comparison in progress.</t>
        </is>
      </c>
      <c r="G249" s="7" t="inlineStr">
        <is>
          <t>Use sidebar/theme control while comparing.</t>
        </is>
      </c>
      <c r="H249" s="7" t="inlineStr">
        <is>
          <t>UI remains interactive or explicitly prevents unsafe transition; no React error.</t>
        </is>
      </c>
      <c r="I249" s="7" t="inlineStr">
        <is>
          <t>Not executed — record observed result during execution.</t>
        </is>
      </c>
      <c r="J249" s="5" t="inlineStr">
        <is>
          <t>Not Run</t>
        </is>
      </c>
      <c r="K249" s="7" t="inlineStr">
        <is>
          <t>Not captured — attach screenshot path or evidence link after execution.</t>
        </is>
      </c>
    </row>
    <row r="250" ht="63" customHeight="1">
      <c r="A250" s="2" t="inlineStr">
        <is>
          <t>EXT-08</t>
        </is>
      </c>
      <c r="B250" s="3" t="inlineStr">
        <is>
          <t>Frontend loading, stale state and error recovery</t>
        </is>
      </c>
      <c r="C250" s="4" t="inlineStr">
        <is>
          <t>TC-249</t>
        </is>
      </c>
      <c r="D250" s="3" t="inlineStr">
        <is>
          <t>P2</t>
        </is>
      </c>
      <c r="E250" s="3" t="inlineStr">
        <is>
          <t>Theme toggle during loading</t>
        </is>
      </c>
      <c r="F250" s="3" t="inlineStr">
        <is>
          <t>Comparison in progress.</t>
        </is>
      </c>
      <c r="G250" s="3" t="inlineStr">
        <is>
          <t>Toggle theme repeatedly.</t>
        </is>
      </c>
      <c r="H250" s="3" t="inlineStr">
        <is>
          <t>Loading and result state remain intact.</t>
        </is>
      </c>
      <c r="I250" s="3" t="inlineStr">
        <is>
          <t>Not executed — record observed result during execution.</t>
        </is>
      </c>
      <c r="J250" s="5" t="inlineStr">
        <is>
          <t>Not Run</t>
        </is>
      </c>
      <c r="K250" s="3" t="inlineStr">
        <is>
          <t>Not captured — attach screenshot path or evidence link after execution.</t>
        </is>
      </c>
    </row>
    <row r="251" ht="63" customHeight="1">
      <c r="A251" s="6" t="inlineStr">
        <is>
          <t>EXT-08</t>
        </is>
      </c>
      <c r="B251" s="7" t="inlineStr">
        <is>
          <t>Frontend loading, stale state and error recovery</t>
        </is>
      </c>
      <c r="C251" s="8" t="inlineStr">
        <is>
          <t>TC-250</t>
        </is>
      </c>
      <c r="D251" s="7" t="inlineStr">
        <is>
          <t>P2</t>
        </is>
      </c>
      <c r="E251" s="7" t="inlineStr">
        <is>
          <t>Toast dismissal</t>
        </is>
      </c>
      <c r="F251" s="7" t="inlineStr">
        <is>
          <t>Trigger several success/warning/error notifications.</t>
        </is>
      </c>
      <c r="G251" s="7" t="inlineStr">
        <is>
          <t>Dismiss or wait for notifications.</t>
        </is>
      </c>
      <c r="H251" s="7" t="inlineStr">
        <is>
          <t>Notifications remain readable and do not permanently block controls.</t>
        </is>
      </c>
      <c r="I251" s="7" t="inlineStr">
        <is>
          <t>Not executed — record observed result during execution.</t>
        </is>
      </c>
      <c r="J251" s="5" t="inlineStr">
        <is>
          <t>Not Run</t>
        </is>
      </c>
      <c r="K251" s="7" t="inlineStr">
        <is>
          <t>Not captured — attach screenshot path or evidence link after execution.</t>
        </is>
      </c>
    </row>
    <row r="252" ht="63" customHeight="1">
      <c r="A252" s="2" t="inlineStr">
        <is>
          <t>EXT-08</t>
        </is>
      </c>
      <c r="B252" s="3" t="inlineStr">
        <is>
          <t>Frontend loading, stale state and error recovery</t>
        </is>
      </c>
      <c r="C252" s="4" t="inlineStr">
        <is>
          <t>TC-251</t>
        </is>
      </c>
      <c r="D252" s="3" t="inlineStr">
        <is>
          <t>P2</t>
        </is>
      </c>
      <c r="E252" s="3" t="inlineStr">
        <is>
          <t>Progress reporting when total unavailable</t>
        </is>
      </c>
      <c r="F252" s="3" t="inlineStr">
        <is>
          <t>Upload progress event has unknown total.</t>
        </is>
      </c>
      <c r="G252" s="3" t="inlineStr">
        <is>
          <t>Run comparison with browser/test client that omits total.</t>
        </is>
      </c>
      <c r="H252" s="3" t="inlineStr">
        <is>
          <t>Progress UI does not show NaN or throw; loading state still resolves.</t>
        </is>
      </c>
      <c r="I252" s="3" t="inlineStr">
        <is>
          <t>Not executed — record observed result during execution.</t>
        </is>
      </c>
      <c r="J252" s="5" t="inlineStr">
        <is>
          <t>Not Run</t>
        </is>
      </c>
      <c r="K252" s="3" t="inlineStr">
        <is>
          <t>Not captured — attach screenshot path or evidence link after execution.</t>
        </is>
      </c>
    </row>
    <row r="253" ht="63" customHeight="1">
      <c r="A253" s="6" t="inlineStr">
        <is>
          <t>EXT-08</t>
        </is>
      </c>
      <c r="B253" s="7" t="inlineStr">
        <is>
          <t>Frontend loading, stale state and error recovery</t>
        </is>
      </c>
      <c r="C253" s="8" t="inlineStr">
        <is>
          <t>TC-252</t>
        </is>
      </c>
      <c r="D253" s="7" t="inlineStr">
        <is>
          <t>P1</t>
        </is>
      </c>
      <c r="E253" s="7" t="inlineStr">
        <is>
          <t>Progress reset after success and failure</t>
        </is>
      </c>
      <c r="F253" s="7" t="inlineStr">
        <is>
          <t>Run a successful comparison then a failing one.</t>
        </is>
      </c>
      <c r="G253" s="7" t="inlineStr">
        <is>
          <t>Inspect progress after each run.</t>
        </is>
      </c>
      <c r="H253" s="7" t="inlineStr">
        <is>
          <t>Progress returns to idle and compare button re-enables.</t>
        </is>
      </c>
      <c r="I253" s="7" t="inlineStr">
        <is>
          <t>Not executed — record observed result during execution.</t>
        </is>
      </c>
      <c r="J253" s="5" t="inlineStr">
        <is>
          <t>Not Run</t>
        </is>
      </c>
      <c r="K253" s="7" t="inlineStr">
        <is>
          <t>Not captured — attach screenshot path or evidence link after execution.</t>
        </is>
      </c>
    </row>
    <row r="254" ht="63" customHeight="1">
      <c r="A254" s="2" t="inlineStr">
        <is>
          <t>EXT-08</t>
        </is>
      </c>
      <c r="B254" s="3" t="inlineStr">
        <is>
          <t>Frontend loading, stale state and error recovery</t>
        </is>
      </c>
      <c r="C254" s="4" t="inlineStr">
        <is>
          <t>TC-253</t>
        </is>
      </c>
      <c r="D254" s="3" t="inlineStr">
        <is>
          <t>P2</t>
        </is>
      </c>
      <c r="E254" s="3" t="inlineStr">
        <is>
          <t>Unmount/route change during pending request</t>
        </is>
      </c>
      <c r="F254" s="3" t="inlineStr">
        <is>
          <t>Start preview or compare, then navigate away.</t>
        </is>
      </c>
      <c r="G254" s="3" t="inlineStr">
        <is>
          <t>Observe console and state after response.</t>
        </is>
      </c>
      <c r="H254" s="3" t="inlineStr">
        <is>
          <t>No uncaught state-update error or corrupted UI state.</t>
        </is>
      </c>
      <c r="I254" s="3" t="inlineStr">
        <is>
          <t>Not executed — record observed result during execution.</t>
        </is>
      </c>
      <c r="J254" s="5" t="inlineStr">
        <is>
          <t>Not Run</t>
        </is>
      </c>
      <c r="K254" s="3" t="inlineStr">
        <is>
          <t>Not captured — attach screenshot path or evidence link after execution.</t>
        </is>
      </c>
    </row>
    <row r="255" ht="63" customHeight="1">
      <c r="A255" s="6" t="inlineStr">
        <is>
          <t>EXT-08</t>
        </is>
      </c>
      <c r="B255" s="7" t="inlineStr">
        <is>
          <t>Frontend loading, stale state and error recovery</t>
        </is>
      </c>
      <c r="C255" s="8" t="inlineStr">
        <is>
          <t>TC-254</t>
        </is>
      </c>
      <c r="D255" s="7" t="inlineStr">
        <is>
          <t>P2</t>
        </is>
      </c>
      <c r="E255" s="7" t="inlineStr">
        <is>
          <t>File removal during compare</t>
        </is>
      </c>
      <c r="F255" s="7" t="inlineStr">
        <is>
          <t>Comparison is running.</t>
        </is>
      </c>
      <c r="G255" s="7" t="inlineStr">
        <is>
          <t>Remove a selected file if control permits.</t>
        </is>
      </c>
      <c r="H255" s="7" t="inlineStr">
        <is>
          <t>Current run behavior is defined; no inconsistent results or crash.</t>
        </is>
      </c>
      <c r="I255" s="7" t="inlineStr">
        <is>
          <t>Not executed — record observed result during execution.</t>
        </is>
      </c>
      <c r="J255" s="5" t="inlineStr">
        <is>
          <t>Not Run</t>
        </is>
      </c>
      <c r="K255" s="7" t="inlineStr">
        <is>
          <t>Not captured — attach screenshot path or evidence link after execution.</t>
        </is>
      </c>
    </row>
    <row r="256" ht="63" customHeight="1">
      <c r="A256" s="2" t="inlineStr">
        <is>
          <t>EXT-08</t>
        </is>
      </c>
      <c r="B256" s="3" t="inlineStr">
        <is>
          <t>Frontend loading, stale state and error recovery</t>
        </is>
      </c>
      <c r="C256" s="4" t="inlineStr">
        <is>
          <t>TC-255</t>
        </is>
      </c>
      <c r="D256" s="3" t="inlineStr">
        <is>
          <t>P2</t>
        </is>
      </c>
      <c r="E256" s="3" t="inlineStr">
        <is>
          <t>Browser download blocked or delayed</t>
        </is>
      </c>
      <c r="F256" s="3" t="inlineStr">
        <is>
          <t>Browser configured to block downloads/popups.</t>
        </is>
      </c>
      <c r="G256" s="3" t="inlineStr">
        <is>
          <t>Trigger report export.</t>
        </is>
      </c>
      <c r="H256" s="3" t="inlineStr">
        <is>
          <t>User receives clear actionable feedback; success is not claimed if download failed.</t>
        </is>
      </c>
      <c r="I256" s="3" t="inlineStr">
        <is>
          <t>Not executed — record observed result during execution.</t>
        </is>
      </c>
      <c r="J256" s="5" t="inlineStr">
        <is>
          <t>Not Run</t>
        </is>
      </c>
      <c r="K256" s="3" t="inlineStr">
        <is>
          <t>Not captured — attach screenshot path or evidence link after execution.</t>
        </is>
      </c>
    </row>
    <row r="257" ht="63" customHeight="1">
      <c r="A257" s="6" t="inlineStr">
        <is>
          <t>EXT-09</t>
        </is>
      </c>
      <c r="B257" s="7" t="inlineStr">
        <is>
          <t>Reports and export fidelity</t>
        </is>
      </c>
      <c r="C257" s="8" t="inlineStr">
        <is>
          <t>TC-256</t>
        </is>
      </c>
      <c r="D257" s="7" t="inlineStr">
        <is>
          <t>P1</t>
        </is>
      </c>
      <c r="E257" s="7" t="inlineStr">
        <is>
          <t>Verify XLSX sheet names and headers</t>
        </is>
      </c>
      <c r="F257" s="7" t="inlineStr">
        <is>
          <t>Comparison with mismatches and missing records.</t>
        </is>
      </c>
      <c r="G257" s="7" t="inlineStr">
        <is>
          <t>Download and inspect workbook.</t>
        </is>
      </c>
      <c r="H257" s="7" t="inlineStr">
        <is>
          <t>Summary, Differences, Metadata sheets have expected headers and data.</t>
        </is>
      </c>
      <c r="I257" s="7" t="inlineStr">
        <is>
          <t>Not executed — record observed result during execution.</t>
        </is>
      </c>
      <c r="J257" s="5" t="inlineStr">
        <is>
          <t>Not Run</t>
        </is>
      </c>
      <c r="K257" s="7" t="inlineStr">
        <is>
          <t>Not captured — attach screenshot path or evidence link after execution.</t>
        </is>
      </c>
    </row>
    <row r="258" ht="63" customHeight="1">
      <c r="A258" s="2" t="inlineStr">
        <is>
          <t>EXT-09</t>
        </is>
      </c>
      <c r="B258" s="3" t="inlineStr">
        <is>
          <t>Reports and export fidelity</t>
        </is>
      </c>
      <c r="C258" s="4" t="inlineStr">
        <is>
          <t>TC-257</t>
        </is>
      </c>
      <c r="D258" s="3" t="inlineStr">
        <is>
          <t>P1</t>
        </is>
      </c>
      <c r="E258" s="3" t="inlineStr">
        <is>
          <t>Verify XLSX cell types</t>
        </is>
      </c>
      <c r="F258" s="3" t="inlineStr">
        <is>
          <t>Data includes text, numbers, dates, nulls and formula-like text.</t>
        </is>
      </c>
      <c r="G258" s="3" t="inlineStr">
        <is>
          <t>Download workbook and inspect types.</t>
        </is>
      </c>
      <c r="H258" s="3" t="inlineStr">
        <is>
          <t>Cell values and types preserve intended data safely.</t>
        </is>
      </c>
      <c r="I258" s="3" t="inlineStr">
        <is>
          <t>Not executed — record observed result during execution.</t>
        </is>
      </c>
      <c r="J258" s="5" t="inlineStr">
        <is>
          <t>Not Run</t>
        </is>
      </c>
      <c r="K258" s="3" t="inlineStr">
        <is>
          <t>Not captured — attach screenshot path or evidence link after execution.</t>
        </is>
      </c>
    </row>
    <row r="259" ht="63" customHeight="1">
      <c r="A259" s="6" t="inlineStr">
        <is>
          <t>EXT-09</t>
        </is>
      </c>
      <c r="B259" s="7" t="inlineStr">
        <is>
          <t>Reports and export fidelity</t>
        </is>
      </c>
      <c r="C259" s="8" t="inlineStr">
        <is>
          <t>TC-258</t>
        </is>
      </c>
      <c r="D259" s="7" t="inlineStr">
        <is>
          <t>P1</t>
        </is>
      </c>
      <c r="E259" s="7" t="inlineStr">
        <is>
          <t>Verify CSV delimiter and quoting</t>
        </is>
      </c>
      <c r="F259" s="7" t="inlineStr">
        <is>
          <t>Data includes commas, quotes, newlines and Unicode.</t>
        </is>
      </c>
      <c r="G259" s="7" t="inlineStr">
        <is>
          <t>Download/open CSV with independent parser.</t>
        </is>
      </c>
      <c r="H259" s="7" t="inlineStr">
        <is>
          <t>CSV parses into expected columns/rows without data shifts.</t>
        </is>
      </c>
      <c r="I259" s="7" t="inlineStr">
        <is>
          <t>Not executed — record observed result during execution.</t>
        </is>
      </c>
      <c r="J259" s="5" t="inlineStr">
        <is>
          <t>Not Run</t>
        </is>
      </c>
      <c r="K259" s="7" t="inlineStr">
        <is>
          <t>Not captured — attach screenshot path or evidence link after execution.</t>
        </is>
      </c>
    </row>
    <row r="260" ht="63" customHeight="1">
      <c r="A260" s="2" t="inlineStr">
        <is>
          <t>EXT-09</t>
        </is>
      </c>
      <c r="B260" s="3" t="inlineStr">
        <is>
          <t>Reports and export fidelity</t>
        </is>
      </c>
      <c r="C260" s="4" t="inlineStr">
        <is>
          <t>TC-259</t>
        </is>
      </c>
      <c r="D260" s="3" t="inlineStr">
        <is>
          <t>P1</t>
        </is>
      </c>
      <c r="E260" s="3" t="inlineStr">
        <is>
          <t>Verify JSON validity and Unicode</t>
        </is>
      </c>
      <c r="F260" s="3" t="inlineStr">
        <is>
          <t>Data includes nulls, Unicode and numeric values.</t>
        </is>
      </c>
      <c r="G260" s="3" t="inlineStr">
        <is>
          <t>Download and parse JSON with independent parser.</t>
        </is>
      </c>
      <c r="H260" s="3" t="inlineStr">
        <is>
          <t>JSON is valid; Unicode preserved; no NaN/Infinity invalid tokens.</t>
        </is>
      </c>
      <c r="I260" s="3" t="inlineStr">
        <is>
          <t>Not executed — record observed result during execution.</t>
        </is>
      </c>
      <c r="J260" s="5" t="inlineStr">
        <is>
          <t>Not Run</t>
        </is>
      </c>
      <c r="K260" s="3" t="inlineStr">
        <is>
          <t>Not captured — attach screenshot path or evidence link after execution.</t>
        </is>
      </c>
    </row>
    <row r="261" ht="63" customHeight="1">
      <c r="A261" s="6" t="inlineStr">
        <is>
          <t>EXT-09</t>
        </is>
      </c>
      <c r="B261" s="7" t="inlineStr">
        <is>
          <t>Reports and export fidelity</t>
        </is>
      </c>
      <c r="C261" s="8" t="inlineStr">
        <is>
          <t>TC-260</t>
        </is>
      </c>
      <c r="D261" s="7" t="inlineStr">
        <is>
          <t>P1</t>
        </is>
      </c>
      <c r="E261" s="7" t="inlineStr">
        <is>
          <t>Verify PDF page overflow</t>
        </is>
      </c>
      <c r="F261" s="7" t="inlineStr">
        <is>
          <t>Report has many wide exception rows.</t>
        </is>
      </c>
      <c r="G261" s="7" t="inlineStr">
        <is>
          <t>Download PDF and inspect all pages.</t>
        </is>
      </c>
      <c r="H261" s="7" t="inlineStr">
        <is>
          <t>Rows paginate/repeat headers; text remains readable and not clipped.</t>
        </is>
      </c>
      <c r="I261" s="7" t="inlineStr">
        <is>
          <t>Not executed — record observed result during execution.</t>
        </is>
      </c>
      <c r="J261" s="5" t="inlineStr">
        <is>
          <t>Not Run</t>
        </is>
      </c>
      <c r="K261" s="7" t="inlineStr">
        <is>
          <t>Not captured — attach screenshot path or evidence link after execution.</t>
        </is>
      </c>
    </row>
    <row r="262" ht="63" customHeight="1">
      <c r="A262" s="2" t="inlineStr">
        <is>
          <t>EXT-09</t>
        </is>
      </c>
      <c r="B262" s="3" t="inlineStr">
        <is>
          <t>Reports and export fidelity</t>
        </is>
      </c>
      <c r="C262" s="4" t="inlineStr">
        <is>
          <t>TC-261</t>
        </is>
      </c>
      <c r="D262" s="3" t="inlineStr">
        <is>
          <t>P2</t>
        </is>
      </c>
      <c r="E262" s="3" t="inlineStr">
        <is>
          <t>PDF with empty exception set</t>
        </is>
      </c>
      <c r="F262" s="3" t="inlineStr">
        <is>
          <t>Comparison has no differences.</t>
        </is>
      </c>
      <c r="G262" s="3" t="inlineStr">
        <is>
          <t>Download PDF.</t>
        </is>
      </c>
      <c r="H262" s="3" t="inlineStr">
        <is>
          <t>Summary and metadata render with a valid empty-differences section.</t>
        </is>
      </c>
      <c r="I262" s="3" t="inlineStr">
        <is>
          <t>Not executed — record observed result during execution.</t>
        </is>
      </c>
      <c r="J262" s="5" t="inlineStr">
        <is>
          <t>Not Run</t>
        </is>
      </c>
      <c r="K262" s="3" t="inlineStr">
        <is>
          <t>Not captured — attach screenshot path or evidence link after execution.</t>
        </is>
      </c>
    </row>
    <row r="263" ht="63" customHeight="1">
      <c r="A263" s="6" t="inlineStr">
        <is>
          <t>EXT-09</t>
        </is>
      </c>
      <c r="B263" s="7" t="inlineStr">
        <is>
          <t>Reports and export fidelity</t>
        </is>
      </c>
      <c r="C263" s="8" t="inlineStr">
        <is>
          <t>TC-262</t>
        </is>
      </c>
      <c r="D263" s="7" t="inlineStr">
        <is>
          <t>P2</t>
        </is>
      </c>
      <c r="E263" s="7" t="inlineStr">
        <is>
          <t>CSV injection escaping check</t>
        </is>
      </c>
      <c r="F263" s="7" t="inlineStr">
        <is>
          <t>Values begin with spreadsheet formula prefixes.</t>
        </is>
      </c>
      <c r="G263" s="7" t="inlineStr">
        <is>
          <t>Download CSV and inspect sanitized values.</t>
        </is>
      </c>
      <c r="H263" s="7" t="inlineStr">
        <is>
          <t>Dangerous values are neutralized or risk explicitly documented.</t>
        </is>
      </c>
      <c r="I263" s="7" t="inlineStr">
        <is>
          <t>Not executed — record observed result during execution.</t>
        </is>
      </c>
      <c r="J263" s="5" t="inlineStr">
        <is>
          <t>Not Run</t>
        </is>
      </c>
      <c r="K263" s="7" t="inlineStr">
        <is>
          <t>Not captured — attach screenshot path or evidence link after execution.</t>
        </is>
      </c>
    </row>
    <row r="264" ht="63" customHeight="1">
      <c r="A264" s="2" t="inlineStr">
        <is>
          <t>EXT-09</t>
        </is>
      </c>
      <c r="B264" s="3" t="inlineStr">
        <is>
          <t>Reports and export fidelity</t>
        </is>
      </c>
      <c r="C264" s="4" t="inlineStr">
        <is>
          <t>TC-263</t>
        </is>
      </c>
      <c r="D264" s="3" t="inlineStr">
        <is>
          <t>P2</t>
        </is>
      </c>
      <c r="E264" s="3" t="inlineStr">
        <is>
          <t>Selected report preserves row identity</t>
        </is>
      </c>
      <c r="F264" s="3" t="inlineStr">
        <is>
          <t>Select result after filtering/sorting/paging.</t>
        </is>
      </c>
      <c r="G264" s="3" t="inlineStr">
        <is>
          <t>Export selected rows and compare with selected UI row.</t>
        </is>
      </c>
      <c r="H264" s="3" t="inlineStr">
        <is>
          <t>Exact selected record appears; no positional-index mismatch.</t>
        </is>
      </c>
      <c r="I264" s="3" t="inlineStr">
        <is>
          <t>Not executed — record observed result during execution.</t>
        </is>
      </c>
      <c r="J264" s="5" t="inlineStr">
        <is>
          <t>Not Run</t>
        </is>
      </c>
      <c r="K264" s="3" t="inlineStr">
        <is>
          <t>Not captured — attach screenshot path or evidence link after execution.</t>
        </is>
      </c>
    </row>
    <row r="265" ht="63" customHeight="1">
      <c r="A265" s="6" t="inlineStr">
        <is>
          <t>EXT-09</t>
        </is>
      </c>
      <c r="B265" s="7" t="inlineStr">
        <is>
          <t>Reports and export fidelity</t>
        </is>
      </c>
      <c r="C265" s="8" t="inlineStr">
        <is>
          <t>TC-264</t>
        </is>
      </c>
      <c r="D265" s="7" t="inlineStr">
        <is>
          <t>P1</t>
        </is>
      </c>
      <c r="E265" s="7" t="inlineStr">
        <is>
          <t>Selected report handles duplicate IDs</t>
        </is>
      </c>
      <c r="F265" s="7" t="inlineStr">
        <is>
          <t>Select multiple visible rows.</t>
        </is>
      </c>
      <c r="G265" s="7" t="inlineStr">
        <is>
          <t>Request selected indices.</t>
        </is>
      </c>
      <c r="H265" s="7" t="inlineStr">
        <is>
          <t>Each selected logical row appears once; no unrelated rows.</t>
        </is>
      </c>
      <c r="I265" s="7" t="inlineStr">
        <is>
          <t>Not executed — record observed result during execution.</t>
        </is>
      </c>
      <c r="J265" s="5" t="inlineStr">
        <is>
          <t>Not Run</t>
        </is>
      </c>
      <c r="K265" s="7" t="inlineStr">
        <is>
          <t>Not captured — attach screenshot path or evidence link after execution.</t>
        </is>
      </c>
    </row>
    <row r="266" ht="63" customHeight="1">
      <c r="A266" s="2" t="inlineStr">
        <is>
          <t>EXT-09</t>
        </is>
      </c>
      <c r="B266" s="3" t="inlineStr">
        <is>
          <t>Reports and export fidelity</t>
        </is>
      </c>
      <c r="C266" s="4" t="inlineStr">
        <is>
          <t>TC-265</t>
        </is>
      </c>
      <c r="D266" s="3" t="inlineStr">
        <is>
          <t>P2</t>
        </is>
      </c>
      <c r="E266" s="3" t="inlineStr">
        <is>
          <t>Large exception export memory/time</t>
        </is>
      </c>
      <c r="F266" s="3" t="inlineStr">
        <is>
          <t>Large exception set within upload cap.</t>
        </is>
      </c>
      <c r="G266" s="3" t="inlineStr">
        <is>
          <t>Export each format and record runtime/memory.</t>
        </is>
      </c>
      <c r="H266" s="3" t="inlineStr">
        <is>
          <t>Export completes within agreed SLA or returns controlled limit feedback.</t>
        </is>
      </c>
      <c r="I266" s="3" t="inlineStr">
        <is>
          <t>Not executed — record observed result during execution.</t>
        </is>
      </c>
      <c r="J266" s="5" t="inlineStr">
        <is>
          <t>Not Run</t>
        </is>
      </c>
      <c r="K266" s="3" t="inlineStr">
        <is>
          <t>Not captured — attach screenshot path or evidence link after execution.</t>
        </is>
      </c>
    </row>
    <row r="267" ht="63" customHeight="1">
      <c r="A267" s="6" t="inlineStr">
        <is>
          <t>EXT-09</t>
        </is>
      </c>
      <c r="B267" s="7" t="inlineStr">
        <is>
          <t>Reports and export fidelity</t>
        </is>
      </c>
      <c r="C267" s="8" t="inlineStr">
        <is>
          <t>TC-266</t>
        </is>
      </c>
      <c r="D267" s="7" t="inlineStr">
        <is>
          <t>P2</t>
        </is>
      </c>
      <c r="E267" s="7" t="inlineStr">
        <is>
          <t>Filename sanitization</t>
        </is>
      </c>
      <c r="F267" s="7" t="inlineStr">
        <is>
          <t>Original upload filenames include quotes, Unicode or path separators.</t>
        </is>
      </c>
      <c r="G267" s="7" t="inlineStr">
        <is>
          <t>Download report and inspect Content-Disposition filename.</t>
        </is>
      </c>
      <c r="H267" s="7" t="inlineStr">
        <is>
          <t>Fixed safe report filename is emitted; no header injection.</t>
        </is>
      </c>
      <c r="I267" s="7" t="inlineStr">
        <is>
          <t>Not executed — record observed result during execution.</t>
        </is>
      </c>
      <c r="J267" s="5" t="inlineStr">
        <is>
          <t>Not Run</t>
        </is>
      </c>
      <c r="K267" s="7" t="inlineStr">
        <is>
          <t>Not captured — attach screenshot path or evidence link after execution.</t>
        </is>
      </c>
    </row>
    <row r="268" ht="63" customHeight="1">
      <c r="A268" s="2" t="inlineStr">
        <is>
          <t>EXT-09</t>
        </is>
      </c>
      <c r="B268" s="3" t="inlineStr">
        <is>
          <t>Reports and export fidelity</t>
        </is>
      </c>
      <c r="C268" s="4" t="inlineStr">
        <is>
          <t>TC-267</t>
        </is>
      </c>
      <c r="D268" s="3" t="inlineStr">
        <is>
          <t>P2</t>
        </is>
      </c>
      <c r="E268" s="3" t="inlineStr">
        <is>
          <t>Report media types</t>
        </is>
      </c>
      <c r="F268" s="3" t="inlineStr">
        <is>
          <t>Valid comparison.</t>
        </is>
      </c>
      <c r="G268" s="3" t="inlineStr">
        <is>
          <t>Request every report format and inspect headers.</t>
        </is>
      </c>
      <c r="H268" s="3" t="inlineStr">
        <is>
          <t>MIME type and extension match actual file format.</t>
        </is>
      </c>
      <c r="I268" s="3" t="inlineStr">
        <is>
          <t>Not executed — record observed result during execution.</t>
        </is>
      </c>
      <c r="J268" s="5" t="inlineStr">
        <is>
          <t>Not Run</t>
        </is>
      </c>
      <c r="K268" s="3" t="inlineStr">
        <is>
          <t>Not captured — attach screenshot path or evidence link after execution.</t>
        </is>
      </c>
    </row>
    <row r="269" ht="63" customHeight="1">
      <c r="A269" s="6" t="inlineStr">
        <is>
          <t>EXT-10</t>
        </is>
      </c>
      <c r="B269" s="7" t="inlineStr">
        <is>
          <t>Performance and capacity extensions</t>
        </is>
      </c>
      <c r="C269" s="8" t="inlineStr">
        <is>
          <t>TC-268</t>
        </is>
      </c>
      <c r="D269" s="7" t="inlineStr">
        <is>
          <t>P1</t>
        </is>
      </c>
      <c r="E269" s="7" t="inlineStr">
        <is>
          <t>Zero-row performance baseline</t>
        </is>
      </c>
      <c r="F269" s="7" t="inlineStr">
        <is>
          <t>Header-only valid files.</t>
        </is>
      </c>
      <c r="G269" s="7" t="inlineStr">
        <is>
          <t>Run preview and compare; record latency.</t>
        </is>
      </c>
      <c r="H269" s="7" t="inlineStr">
        <is>
          <t>Endpoints return promptly without unnecessary resource spikes.</t>
        </is>
      </c>
      <c r="I269" s="7" t="inlineStr">
        <is>
          <t>Not executed — record observed result during execution.</t>
        </is>
      </c>
      <c r="J269" s="5" t="inlineStr">
        <is>
          <t>Not Run</t>
        </is>
      </c>
      <c r="K269" s="7" t="inlineStr">
        <is>
          <t>Not captured — attach screenshot path or evidence link after execution.</t>
        </is>
      </c>
    </row>
    <row r="270" ht="63" customHeight="1">
      <c r="A270" s="2" t="inlineStr">
        <is>
          <t>EXT-10</t>
        </is>
      </c>
      <c r="B270" s="3" t="inlineStr">
        <is>
          <t>Performance and capacity extensions</t>
        </is>
      </c>
      <c r="C270" s="4" t="inlineStr">
        <is>
          <t>TC-269</t>
        </is>
      </c>
      <c r="D270" s="3" t="inlineStr">
        <is>
          <t>P1</t>
        </is>
      </c>
      <c r="E270" s="3" t="inlineStr">
        <is>
          <t>One-row comparison</t>
        </is>
      </c>
      <c r="F270" s="3" t="inlineStr">
        <is>
          <t>One valid row in each file.</t>
        </is>
      </c>
      <c r="G270" s="3" t="inlineStr">
        <is>
          <t>Compare identical and mismatched pair.</t>
        </is>
      </c>
      <c r="H270" s="3" t="inlineStr">
        <is>
          <t>Correct results and minimal latency.</t>
        </is>
      </c>
      <c r="I270" s="3" t="inlineStr">
        <is>
          <t>Not executed — record observed result during execution.</t>
        </is>
      </c>
      <c r="J270" s="5" t="inlineStr">
        <is>
          <t>Not Run</t>
        </is>
      </c>
      <c r="K270" s="3" t="inlineStr">
        <is>
          <t>Not captured — attach screenshot path or evidence link after execution.</t>
        </is>
      </c>
    </row>
    <row r="271" ht="63" customHeight="1">
      <c r="A271" s="6" t="inlineStr">
        <is>
          <t>EXT-10</t>
        </is>
      </c>
      <c r="B271" s="7" t="inlineStr">
        <is>
          <t>Performance and capacity extensions</t>
        </is>
      </c>
      <c r="C271" s="8" t="inlineStr">
        <is>
          <t>TC-270</t>
        </is>
      </c>
      <c r="D271" s="7" t="inlineStr">
        <is>
          <t>P1</t>
        </is>
      </c>
      <c r="E271" s="7" t="inlineStr">
        <is>
          <t>100-row comparison baseline</t>
        </is>
      </c>
      <c r="F271" s="7" t="inlineStr">
        <is>
          <t>100 source and target records.</t>
        </is>
      </c>
      <c r="G271" s="7" t="inlineStr">
        <is>
          <t>Compare; record runtime and memory.</t>
        </is>
      </c>
      <c r="H271" s="7" t="inlineStr">
        <is>
          <t>Correct summary and results within target.</t>
        </is>
      </c>
      <c r="I271" s="7" t="inlineStr">
        <is>
          <t>Not executed — record observed result during execution.</t>
        </is>
      </c>
      <c r="J271" s="5" t="inlineStr">
        <is>
          <t>Not Run</t>
        </is>
      </c>
      <c r="K271" s="7" t="inlineStr">
        <is>
          <t>Not captured — attach screenshot path or evidence link after execution.</t>
        </is>
      </c>
    </row>
    <row r="272" ht="63" customHeight="1">
      <c r="A272" s="2" t="inlineStr">
        <is>
          <t>EXT-10</t>
        </is>
      </c>
      <c r="B272" s="3" t="inlineStr">
        <is>
          <t>Performance and capacity extensions</t>
        </is>
      </c>
      <c r="C272" s="4" t="inlineStr">
        <is>
          <t>TC-271</t>
        </is>
      </c>
      <c r="D272" s="3" t="inlineStr">
        <is>
          <t>P1</t>
        </is>
      </c>
      <c r="E272" s="3" t="inlineStr">
        <is>
          <t>10k-row comparison baseline</t>
        </is>
      </c>
      <c r="F272" s="3" t="inlineStr">
        <is>
          <t>10,000 records with sparse differences.</t>
        </is>
      </c>
      <c r="G272" s="3" t="inlineStr">
        <is>
          <t>Compare; record runtime and memory.</t>
        </is>
      </c>
      <c r="H272" s="3" t="inlineStr">
        <is>
          <t>Correct output within agreed SLA.</t>
        </is>
      </c>
      <c r="I272" s="3" t="inlineStr">
        <is>
          <t>Not executed — record observed result during execution.</t>
        </is>
      </c>
      <c r="J272" s="5" t="inlineStr">
        <is>
          <t>Not Run</t>
        </is>
      </c>
      <c r="K272" s="3" t="inlineStr">
        <is>
          <t>Not captured — attach screenshot path or evidence link after execution.</t>
        </is>
      </c>
    </row>
    <row r="273" ht="63" customHeight="1">
      <c r="A273" s="6" t="inlineStr">
        <is>
          <t>EXT-10</t>
        </is>
      </c>
      <c r="B273" s="7" t="inlineStr">
        <is>
          <t>Performance and capacity extensions</t>
        </is>
      </c>
      <c r="C273" s="8" t="inlineStr">
        <is>
          <t>TC-272</t>
        </is>
      </c>
      <c r="D273" s="7" t="inlineStr">
        <is>
          <t>P1</t>
        </is>
      </c>
      <c r="E273" s="7" t="inlineStr">
        <is>
          <t>100k-row comparison baseline</t>
        </is>
      </c>
      <c r="F273" s="7" t="inlineStr">
        <is>
          <t>100,000 records with sparse differences.</t>
        </is>
      </c>
      <c r="G273" s="7" t="inlineStr">
        <is>
          <t>Compare; record hardware, runtime, memory and status.</t>
        </is>
      </c>
      <c r="H273" s="7" t="inlineStr">
        <is>
          <t>Correct output without crash; measured performance compared to SLA.</t>
        </is>
      </c>
      <c r="I273" s="7" t="inlineStr">
        <is>
          <t>Not executed — record observed result during execution.</t>
        </is>
      </c>
      <c r="J273" s="5" t="inlineStr">
        <is>
          <t>Not Run</t>
        </is>
      </c>
      <c r="K273" s="7" t="inlineStr">
        <is>
          <t>Not captured — attach screenshot path or evidence link after execution.</t>
        </is>
      </c>
    </row>
    <row r="274" ht="63" customHeight="1">
      <c r="A274" s="2" t="inlineStr">
        <is>
          <t>EXT-10</t>
        </is>
      </c>
      <c r="B274" s="3" t="inlineStr">
        <is>
          <t>Performance and capacity extensions</t>
        </is>
      </c>
      <c r="C274" s="4" t="inlineStr">
        <is>
          <t>TC-273</t>
        </is>
      </c>
      <c r="D274" s="3" t="inlineStr">
        <is>
          <t>P2</t>
        </is>
      </c>
      <c r="E274" s="3" t="inlineStr">
        <is>
          <t>Near-100-MB CSV upload</t>
        </is>
      </c>
      <c r="F274" s="3" t="inlineStr">
        <is>
          <t>Supported CSV file close to limit.</t>
        </is>
      </c>
      <c r="G274" s="3" t="inlineStr">
        <is>
          <t>Preview and compare.</t>
        </is>
      </c>
      <c r="H274" s="3" t="inlineStr">
        <is>
          <t>Request within configured limit succeeds safely or gives timely controlled failure.</t>
        </is>
      </c>
      <c r="I274" s="3" t="inlineStr">
        <is>
          <t>Not executed — record observed result during execution.</t>
        </is>
      </c>
      <c r="J274" s="5" t="inlineStr">
        <is>
          <t>Not Run</t>
        </is>
      </c>
      <c r="K274" s="3" t="inlineStr">
        <is>
          <t>Not captured — attach screenshot path or evidence link after execution.</t>
        </is>
      </c>
    </row>
    <row r="275" ht="63" customHeight="1">
      <c r="A275" s="6" t="inlineStr">
        <is>
          <t>EXT-10</t>
        </is>
      </c>
      <c r="B275" s="7" t="inlineStr">
        <is>
          <t>Performance and capacity extensions</t>
        </is>
      </c>
      <c r="C275" s="8" t="inlineStr">
        <is>
          <t>TC-274</t>
        </is>
      </c>
      <c r="D275" s="7" t="inlineStr">
        <is>
          <t>P1</t>
        </is>
      </c>
      <c r="E275" s="7" t="inlineStr">
        <is>
          <t>Exactly-at-limit and one-byte-over-limit</t>
        </is>
      </c>
      <c r="F275" s="7" t="inlineStr">
        <is>
          <t>Prepare file at configured byte boundary and file one byte larger.</t>
        </is>
      </c>
      <c r="G275" s="7" t="inlineStr">
        <is>
          <t>Upload both.</t>
        </is>
      </c>
      <c r="H275" s="7" t="inlineStr">
        <is>
          <t>Boundary behavior is correct and deterministic.</t>
        </is>
      </c>
      <c r="I275" s="7" t="inlineStr">
        <is>
          <t>Not executed — record observed result during execution.</t>
        </is>
      </c>
      <c r="J275" s="5" t="inlineStr">
        <is>
          <t>Not Run</t>
        </is>
      </c>
      <c r="K275" s="7" t="inlineStr">
        <is>
          <t>Not captured — attach screenshot path or evidence link after execution.</t>
        </is>
      </c>
    </row>
    <row r="276" ht="63" customHeight="1">
      <c r="A276" s="2" t="inlineStr">
        <is>
          <t>EXT-10</t>
        </is>
      </c>
      <c r="B276" s="3" t="inlineStr">
        <is>
          <t>Performance and capacity extensions</t>
        </is>
      </c>
      <c r="C276" s="4" t="inlineStr">
        <is>
          <t>TC-275</t>
        </is>
      </c>
      <c r="D276" s="3" t="inlineStr">
        <is>
          <t>P2</t>
        </is>
      </c>
      <c r="E276" s="3" t="inlineStr">
        <is>
          <t>High mismatch density</t>
        </is>
      </c>
      <c r="F276" s="3" t="inlineStr">
        <is>
          <t>Large files differ in most non-key cells.</t>
        </is>
      </c>
      <c r="G276" s="3" t="inlineStr">
        <is>
          <t>Compare and paginate.</t>
        </is>
      </c>
      <c r="H276" s="3" t="inlineStr">
        <is>
          <t>Memory and response remain bounded enough for agreed capacity; no incorrect summary.</t>
        </is>
      </c>
      <c r="I276" s="3" t="inlineStr">
        <is>
          <t>Not executed — record observed result during execution.</t>
        </is>
      </c>
      <c r="J276" s="5" t="inlineStr">
        <is>
          <t>Not Run</t>
        </is>
      </c>
      <c r="K276" s="3" t="inlineStr">
        <is>
          <t>Not captured — attach screenshot path or evidence link after execution.</t>
        </is>
      </c>
    </row>
    <row r="277" ht="63" customHeight="1">
      <c r="A277" s="6" t="inlineStr">
        <is>
          <t>EXT-10</t>
        </is>
      </c>
      <c r="B277" s="7" t="inlineStr">
        <is>
          <t>Performance and capacity extensions</t>
        </is>
      </c>
      <c r="C277" s="8" t="inlineStr">
        <is>
          <t>TC-276</t>
        </is>
      </c>
      <c r="D277" s="7" t="inlineStr">
        <is>
          <t>P2</t>
        </is>
      </c>
      <c r="E277" s="7" t="inlineStr">
        <is>
          <t>One key with very wide row</t>
        </is>
      </c>
      <c r="F277" s="7" t="inlineStr">
        <is>
          <t>Few rows with many columns.</t>
        </is>
      </c>
      <c r="G277" s="7" t="inlineStr">
        <is>
          <t>Compare.</t>
        </is>
      </c>
      <c r="H277" s="7" t="inlineStr">
        <is>
          <t>Column comparisons remain accurate and execution is bounded.</t>
        </is>
      </c>
      <c r="I277" s="7" t="inlineStr">
        <is>
          <t>Not executed — record observed result during execution.</t>
        </is>
      </c>
      <c r="J277" s="5" t="inlineStr">
        <is>
          <t>Not Run</t>
        </is>
      </c>
      <c r="K277" s="7" t="inlineStr">
        <is>
          <t>Not captured — attach screenshot path or evidence link after execution.</t>
        </is>
      </c>
    </row>
    <row r="278" ht="63" customHeight="1">
      <c r="A278" s="2" t="inlineStr">
        <is>
          <t>EXT-10</t>
        </is>
      </c>
      <c r="B278" s="3" t="inlineStr">
        <is>
          <t>Performance and capacity extensions</t>
        </is>
      </c>
      <c r="C278" s="4" t="inlineStr">
        <is>
          <t>TC-277</t>
        </is>
      </c>
      <c r="D278" s="3" t="inlineStr">
        <is>
          <t>P2</t>
        </is>
      </c>
      <c r="E278" s="3" t="inlineStr">
        <is>
          <t>Concurrent previews</t>
        </is>
      </c>
      <c r="F278" s="3" t="inlineStr">
        <is>
          <t>Multiple distinct files/clients.</t>
        </is>
      </c>
      <c r="G278" s="3" t="inlineStr">
        <is>
          <t>Send simultaneous previews.</t>
        </is>
      </c>
      <c r="H278" s="3" t="inlineStr">
        <is>
          <t>No request contamination; latency and resource use recorded.</t>
        </is>
      </c>
      <c r="I278" s="3" t="inlineStr">
        <is>
          <t>Not executed — record observed result during execution.</t>
        </is>
      </c>
      <c r="J278" s="5" t="inlineStr">
        <is>
          <t>Not Run</t>
        </is>
      </c>
      <c r="K278" s="3" t="inlineStr">
        <is>
          <t>Not captured — attach screenshot path or evidence link after execution.</t>
        </is>
      </c>
    </row>
    <row r="279" ht="63" customHeight="1">
      <c r="A279" s="6" t="inlineStr">
        <is>
          <t>EXT-10</t>
        </is>
      </c>
      <c r="B279" s="7" t="inlineStr">
        <is>
          <t>Performance and capacity extensions</t>
        </is>
      </c>
      <c r="C279" s="8" t="inlineStr">
        <is>
          <t>TC-278</t>
        </is>
      </c>
      <c r="D279" s="7" t="inlineStr">
        <is>
          <t>P1</t>
        </is>
      </c>
      <c r="E279" s="7" t="inlineStr">
        <is>
          <t>Concurrent comparisons at expected load</t>
        </is>
      </c>
      <c r="F279" s="7" t="inlineStr">
        <is>
          <t>Load generator and isolated synthetic data.</t>
        </is>
      </c>
      <c r="G279" s="7" t="inlineStr">
        <is>
          <t>Run agreed concurrent user count.</t>
        </is>
      </c>
      <c r="H279" s="7" t="inlineStr">
        <is>
          <t>Error rate, latency and resource metrics meet agreed SLA.</t>
        </is>
      </c>
      <c r="I279" s="7" t="inlineStr">
        <is>
          <t>Not executed — record observed result during execution.</t>
        </is>
      </c>
      <c r="J279" s="5" t="inlineStr">
        <is>
          <t>Not Run</t>
        </is>
      </c>
      <c r="K279" s="7" t="inlineStr">
        <is>
          <t>Not captured — attach screenshot path or evidence link after execution.</t>
        </is>
      </c>
    </row>
    <row r="280" ht="63" customHeight="1">
      <c r="A280" s="2" t="inlineStr">
        <is>
          <t>EXT-10</t>
        </is>
      </c>
      <c r="B280" s="3" t="inlineStr">
        <is>
          <t>Performance and capacity extensions</t>
        </is>
      </c>
      <c r="C280" s="4" t="inlineStr">
        <is>
          <t>TC-279</t>
        </is>
      </c>
      <c r="D280" s="3" t="inlineStr">
        <is>
          <t>P2</t>
        </is>
      </c>
      <c r="E280" s="3" t="inlineStr">
        <is>
          <t>Sustained repeated run load</t>
        </is>
      </c>
      <c r="F280" s="3" t="inlineStr">
        <is>
          <t>Test environment and synthetic files.</t>
        </is>
      </c>
      <c r="G280" s="3" t="inlineStr">
        <is>
          <t>Repeat comparisons for agreed soak duration.</t>
        </is>
      </c>
      <c r="H280" s="3" t="inlineStr">
        <is>
          <t>No progressive memory/latency leak beyond thresholds.</t>
        </is>
      </c>
      <c r="I280" s="3" t="inlineStr">
        <is>
          <t>Not executed — record observed result during execution.</t>
        </is>
      </c>
      <c r="J280" s="5" t="inlineStr">
        <is>
          <t>Not Run</t>
        </is>
      </c>
      <c r="K280" s="3" t="inlineStr">
        <is>
          <t>Not captured — attach screenshot path or evidence link after execution.</t>
        </is>
      </c>
    </row>
    <row r="281" ht="63" customHeight="1">
      <c r="A281" s="6" t="inlineStr">
        <is>
          <t>EXT-10</t>
        </is>
      </c>
      <c r="B281" s="7" t="inlineStr">
        <is>
          <t>Performance and capacity extensions</t>
        </is>
      </c>
      <c r="C281" s="8" t="inlineStr">
        <is>
          <t>TC-280</t>
        </is>
      </c>
      <c r="D281" s="7" t="inlineStr">
        <is>
          <t>P2</t>
        </is>
      </c>
      <c r="E281" s="7" t="inlineStr">
        <is>
          <t>Cold start dependency import</t>
        </is>
      </c>
      <c r="F281" s="7" t="inlineStr">
        <is>
          <t>Restart backend process.</t>
        </is>
      </c>
      <c r="G281" s="7" t="inlineStr">
        <is>
          <t>Measure first health and first preview request.</t>
        </is>
      </c>
      <c r="H281" s="7" t="inlineStr">
        <is>
          <t>Startup and first-request latency recorded; process becomes healthy.</t>
        </is>
      </c>
      <c r="I281" s="7" t="inlineStr">
        <is>
          <t>Not executed — record observed result during execution.</t>
        </is>
      </c>
      <c r="J281" s="5" t="inlineStr">
        <is>
          <t>Not Run</t>
        </is>
      </c>
      <c r="K281" s="7" t="inlineStr">
        <is>
          <t>Not captured — attach screenshot path or evidence link after execution.</t>
        </is>
      </c>
    </row>
    <row r="282" ht="63" customHeight="1">
      <c r="A282" s="2" t="inlineStr">
        <is>
          <t>EXT-10</t>
        </is>
      </c>
      <c r="B282" s="3" t="inlineStr">
        <is>
          <t>Performance and capacity extensions</t>
        </is>
      </c>
      <c r="C282" s="4" t="inlineStr">
        <is>
          <t>TC-281</t>
        </is>
      </c>
      <c r="D282" s="3" t="inlineStr">
        <is>
          <t>P2</t>
        </is>
      </c>
      <c r="E282" s="3" t="inlineStr">
        <is>
          <t>Backend under memory pressure</t>
        </is>
      </c>
      <c r="F282" s="3" t="inlineStr">
        <is>
          <t>Controlled resource-limited test container.</t>
        </is>
      </c>
      <c r="G282" s="3" t="inlineStr">
        <is>
          <t>Upload maximum representative data.</t>
        </is>
      </c>
      <c r="H282" s="3" t="inlineStr">
        <is>
          <t>Graceful errors and health behavior; no silent process corruption.</t>
        </is>
      </c>
      <c r="I282" s="3" t="inlineStr">
        <is>
          <t>Not executed — record observed result during execution.</t>
        </is>
      </c>
      <c r="J282" s="5" t="inlineStr">
        <is>
          <t>Not Run</t>
        </is>
      </c>
      <c r="K282" s="3" t="inlineStr">
        <is>
          <t>Not captured — attach screenshot path or evidence link after execution.</t>
        </is>
      </c>
    </row>
    <row r="283" ht="63" customHeight="1">
      <c r="A283" s="6" t="inlineStr">
        <is>
          <t>EXT-11</t>
        </is>
      </c>
      <c r="B283" s="7" t="inlineStr">
        <is>
          <t>Accessibility, localization and browser presentation</t>
        </is>
      </c>
      <c r="C283" s="8" t="inlineStr">
        <is>
          <t>TC-282</t>
        </is>
      </c>
      <c r="D283" s="7" t="inlineStr">
        <is>
          <t>P2</t>
        </is>
      </c>
      <c r="E283" s="7" t="inlineStr">
        <is>
          <t>200% browser zoom</t>
        </is>
      </c>
      <c r="F283" s="7" t="inlineStr">
        <is>
          <t>Dashboard open.</t>
        </is>
      </c>
      <c r="G283" s="7" t="inlineStr">
        <is>
          <t>Set browser zoom to 200%; exercise upload and results.</t>
        </is>
      </c>
      <c r="H283" s="7" t="inlineStr">
        <is>
          <t>No critical controls or content are clipped or unreachable.</t>
        </is>
      </c>
      <c r="I283" s="7" t="inlineStr">
        <is>
          <t>Not executed — record observed result during execution.</t>
        </is>
      </c>
      <c r="J283" s="5" t="inlineStr">
        <is>
          <t>Not Run</t>
        </is>
      </c>
      <c r="K283" s="7" t="inlineStr">
        <is>
          <t>Not captured — attach screenshot path or evidence link after execution.</t>
        </is>
      </c>
    </row>
    <row r="284" ht="63" customHeight="1">
      <c r="A284" s="2" t="inlineStr">
        <is>
          <t>EXT-11</t>
        </is>
      </c>
      <c r="B284" s="3" t="inlineStr">
        <is>
          <t>Accessibility, localization and browser presentation</t>
        </is>
      </c>
      <c r="C284" s="4" t="inlineStr">
        <is>
          <t>TC-283</t>
        </is>
      </c>
      <c r="D284" s="3" t="inlineStr">
        <is>
          <t>P2</t>
        </is>
      </c>
      <c r="E284" s="3" t="inlineStr">
        <is>
          <t>320 CSS pixel viewport</t>
        </is>
      </c>
      <c r="F284" s="3" t="inlineStr">
        <is>
          <t>Device emulation available.</t>
        </is>
      </c>
      <c r="G284" s="3" t="inlineStr">
        <is>
          <t>Open dashboard at 320 CSS px width.</t>
        </is>
      </c>
      <c r="H284" s="3" t="inlineStr">
        <is>
          <t>No loss of essential functionality; horizontal scrolling is limited to data tables.</t>
        </is>
      </c>
      <c r="I284" s="3" t="inlineStr">
        <is>
          <t>Not executed — record observed result during execution.</t>
        </is>
      </c>
      <c r="J284" s="5" t="inlineStr">
        <is>
          <t>Not Run</t>
        </is>
      </c>
      <c r="K284" s="3" t="inlineStr">
        <is>
          <t>Not captured — attach screenshot path or evidence link after execution.</t>
        </is>
      </c>
    </row>
    <row r="285" ht="63" customHeight="1">
      <c r="A285" s="6" t="inlineStr">
        <is>
          <t>EXT-11</t>
        </is>
      </c>
      <c r="B285" s="7" t="inlineStr">
        <is>
          <t>Accessibility, localization and browser presentation</t>
        </is>
      </c>
      <c r="C285" s="8" t="inlineStr">
        <is>
          <t>TC-284</t>
        </is>
      </c>
      <c r="D285" s="7" t="inlineStr">
        <is>
          <t>P2</t>
        </is>
      </c>
      <c r="E285" s="7" t="inlineStr">
        <is>
          <t>Reduced motion preference</t>
        </is>
      </c>
      <c r="F285" s="7" t="inlineStr">
        <is>
          <t>OS/browser reduced-motion enabled.</t>
        </is>
      </c>
      <c r="G285" s="7" t="inlineStr">
        <is>
          <t>Load page and use theme/navigation interactions.</t>
        </is>
      </c>
      <c r="H285" s="7" t="inlineStr">
        <is>
          <t>Non-essential animation is reduced; motion is not required to understand state.</t>
        </is>
      </c>
      <c r="I285" s="7" t="inlineStr">
        <is>
          <t>Not executed — record observed result during execution.</t>
        </is>
      </c>
      <c r="J285" s="5" t="inlineStr">
        <is>
          <t>Not Run</t>
        </is>
      </c>
      <c r="K285" s="7" t="inlineStr">
        <is>
          <t>Not captured — attach screenshot path or evidence link after execution.</t>
        </is>
      </c>
    </row>
    <row r="286" ht="63" customHeight="1">
      <c r="A286" s="2" t="inlineStr">
        <is>
          <t>EXT-11</t>
        </is>
      </c>
      <c r="B286" s="3" t="inlineStr">
        <is>
          <t>Accessibility, localization and browser presentation</t>
        </is>
      </c>
      <c r="C286" s="4" t="inlineStr">
        <is>
          <t>TC-285</t>
        </is>
      </c>
      <c r="D286" s="3" t="inlineStr">
        <is>
          <t>P2</t>
        </is>
      </c>
      <c r="E286" s="3" t="inlineStr">
        <is>
          <t>High contrast mode</t>
        </is>
      </c>
      <c r="F286" s="3" t="inlineStr">
        <is>
          <t>OS high-contrast mode available.</t>
        </is>
      </c>
      <c r="G286" s="3" t="inlineStr">
        <is>
          <t>Inspect controls, borders, focus and status tags.</t>
        </is>
      </c>
      <c r="H286" s="3" t="inlineStr">
        <is>
          <t>Essential control boundaries and statuses remain discernible.</t>
        </is>
      </c>
      <c r="I286" s="3" t="inlineStr">
        <is>
          <t>Not executed — record observed result during execution.</t>
        </is>
      </c>
      <c r="J286" s="5" t="inlineStr">
        <is>
          <t>Not Run</t>
        </is>
      </c>
      <c r="K286" s="3" t="inlineStr">
        <is>
          <t>Not captured — attach screenshot path or evidence link after execution.</t>
        </is>
      </c>
    </row>
    <row r="287" ht="63" customHeight="1">
      <c r="A287" s="6" t="inlineStr">
        <is>
          <t>EXT-11</t>
        </is>
      </c>
      <c r="B287" s="7" t="inlineStr">
        <is>
          <t>Accessibility, localization and browser presentation</t>
        </is>
      </c>
      <c r="C287" s="8" t="inlineStr">
        <is>
          <t>TC-286</t>
        </is>
      </c>
      <c r="D287" s="7" t="inlineStr">
        <is>
          <t>P2</t>
        </is>
      </c>
      <c r="E287" s="7" t="inlineStr">
        <is>
          <t>Screen-reader upload feedback</t>
        </is>
      </c>
      <c r="F287" s="7" t="inlineStr">
        <is>
          <t>Screen reader available.</t>
        </is>
      </c>
      <c r="G287" s="7" t="inlineStr">
        <is>
          <t>Upload valid and invalid files.</t>
        </is>
      </c>
      <c r="H287" s="7" t="inlineStr">
        <is>
          <t>File selection, preview completion and error are announced.</t>
        </is>
      </c>
      <c r="I287" s="7" t="inlineStr">
        <is>
          <t>Not executed — record observed result during execution.</t>
        </is>
      </c>
      <c r="J287" s="5" t="inlineStr">
        <is>
          <t>Not Run</t>
        </is>
      </c>
      <c r="K287" s="7" t="inlineStr">
        <is>
          <t>Not captured — attach screenshot path or evidence link after execution.</t>
        </is>
      </c>
    </row>
    <row r="288" ht="63" customHeight="1">
      <c r="A288" s="2" t="inlineStr">
        <is>
          <t>EXT-11</t>
        </is>
      </c>
      <c r="B288" s="3" t="inlineStr">
        <is>
          <t>Accessibility, localization and browser presentation</t>
        </is>
      </c>
      <c r="C288" s="4" t="inlineStr">
        <is>
          <t>TC-287</t>
        </is>
      </c>
      <c r="D288" s="3" t="inlineStr">
        <is>
          <t>P2</t>
        </is>
      </c>
      <c r="E288" s="3" t="inlineStr">
        <is>
          <t>Screen-reader comparison feedback</t>
        </is>
      </c>
      <c r="F288" s="3" t="inlineStr">
        <is>
          <t>Screen reader available.</t>
        </is>
      </c>
      <c r="G288" s="3" t="inlineStr">
        <is>
          <t>Run comparison and inspect summary/results.</t>
        </is>
      </c>
      <c r="H288" s="3" t="inlineStr">
        <is>
          <t>Completion is announced and KPI/result labels are meaningful.</t>
        </is>
      </c>
      <c r="I288" s="3" t="inlineStr">
        <is>
          <t>Not executed — record observed result during execution.</t>
        </is>
      </c>
      <c r="J288" s="5" t="inlineStr">
        <is>
          <t>Not Run</t>
        </is>
      </c>
      <c r="K288" s="3" t="inlineStr">
        <is>
          <t>Not captured — attach screenshot path or evidence link after execution.</t>
        </is>
      </c>
    </row>
    <row r="289" ht="63" customHeight="1">
      <c r="A289" s="6" t="inlineStr">
        <is>
          <t>EXT-11</t>
        </is>
      </c>
      <c r="B289" s="7" t="inlineStr">
        <is>
          <t>Accessibility, localization and browser presentation</t>
        </is>
      </c>
      <c r="C289" s="8" t="inlineStr">
        <is>
          <t>TC-288</t>
        </is>
      </c>
      <c r="D289" s="7" t="inlineStr">
        <is>
          <t>P2</t>
        </is>
      </c>
      <c r="E289" s="7" t="inlineStr">
        <is>
          <t>Table selection accessible state</t>
        </is>
      </c>
      <c r="F289" s="7" t="inlineStr">
        <is>
          <t>Screen reader or accessibility tree.</t>
        </is>
      </c>
      <c r="G289" s="7" t="inlineStr">
        <is>
          <t>Select/deselect result rows.</t>
        </is>
      </c>
      <c r="H289" s="7" t="inlineStr">
        <is>
          <t>Selection state and row identity are announced.</t>
        </is>
      </c>
      <c r="I289" s="7" t="inlineStr">
        <is>
          <t>Not executed — record observed result during execution.</t>
        </is>
      </c>
      <c r="J289" s="5" t="inlineStr">
        <is>
          <t>Not Run</t>
        </is>
      </c>
      <c r="K289" s="7" t="inlineStr">
        <is>
          <t>Not captured — attach screenshot path or evidence link after execution.</t>
        </is>
      </c>
    </row>
    <row r="290" ht="63" customHeight="1">
      <c r="A290" s="2" t="inlineStr">
        <is>
          <t>EXT-11</t>
        </is>
      </c>
      <c r="B290" s="3" t="inlineStr">
        <is>
          <t>Accessibility, localization and browser presentation</t>
        </is>
      </c>
      <c r="C290" s="4" t="inlineStr">
        <is>
          <t>TC-289</t>
        </is>
      </c>
      <c r="D290" s="3" t="inlineStr">
        <is>
          <t>P2</t>
        </is>
      </c>
      <c r="E290" s="3" t="inlineStr">
        <is>
          <t>Locale-specific number formatting</t>
        </is>
      </c>
      <c r="F290" s="3" t="inlineStr">
        <is>
          <t>Browser locale differs from en-US.</t>
        </is>
      </c>
      <c r="G290" s="3" t="inlineStr">
        <is>
          <t>Inspect counts, dates and decimal values.</t>
        </is>
      </c>
      <c r="H290" s="3" t="inlineStr">
        <is>
          <t>Display formatting is consistent and does not alter raw comparison values.</t>
        </is>
      </c>
      <c r="I290" s="3" t="inlineStr">
        <is>
          <t>Not executed — record observed result during execution.</t>
        </is>
      </c>
      <c r="J290" s="5" t="inlineStr">
        <is>
          <t>Not Run</t>
        </is>
      </c>
      <c r="K290" s="3" t="inlineStr">
        <is>
          <t>Not captured — attach screenshot path or evidence link after execution.</t>
        </is>
      </c>
    </row>
    <row r="291" ht="63" customHeight="1">
      <c r="A291" s="6" t="inlineStr">
        <is>
          <t>EXT-11</t>
        </is>
      </c>
      <c r="B291" s="7" t="inlineStr">
        <is>
          <t>Accessibility, localization and browser presentation</t>
        </is>
      </c>
      <c r="C291" s="8" t="inlineStr">
        <is>
          <t>TC-290</t>
        </is>
      </c>
      <c r="D291" s="7" t="inlineStr">
        <is>
          <t>P2</t>
        </is>
      </c>
      <c r="E291" s="7" t="inlineStr">
        <is>
          <t>Long translated strings</t>
        </is>
      </c>
      <c r="F291" s="7" t="inlineStr">
        <is>
          <t>Use test localization or substitute long labels.</t>
        </is>
      </c>
      <c r="G291" s="7" t="inlineStr">
        <is>
          <t>Inspect mobile and desktop layouts.</t>
        </is>
      </c>
      <c r="H291" s="7" t="inlineStr">
        <is>
          <t>Layout accommodates longer labels or localization is documented as unsupported.</t>
        </is>
      </c>
      <c r="I291" s="7" t="inlineStr">
        <is>
          <t>Not executed — record observed result during execution.</t>
        </is>
      </c>
      <c r="J291" s="5" t="inlineStr">
        <is>
          <t>Not Run</t>
        </is>
      </c>
      <c r="K291" s="7" t="inlineStr">
        <is>
          <t>Not captured — attach screenshot path or evidence link after execution.</t>
        </is>
      </c>
    </row>
    <row r="292" ht="63" customHeight="1">
      <c r="A292" s="2" t="inlineStr">
        <is>
          <t>EXT-11</t>
        </is>
      </c>
      <c r="B292" s="3" t="inlineStr">
        <is>
          <t>Accessibility, localization and browser presentation</t>
        </is>
      </c>
      <c r="C292" s="4" t="inlineStr">
        <is>
          <t>TC-291</t>
        </is>
      </c>
      <c r="D292" s="3" t="inlineStr">
        <is>
          <t>P2</t>
        </is>
      </c>
      <c r="E292" s="3" t="inlineStr">
        <is>
          <t>Date/time timezone display</t>
        </is>
      </c>
      <c r="F292" s="3" t="inlineStr">
        <is>
          <t>Client timezone differs from API timezone.</t>
        </is>
      </c>
      <c r="G292" s="3" t="inlineStr">
        <is>
          <t>Compare report timestamp to API metadata.</t>
        </is>
      </c>
      <c r="H292" s="3" t="inlineStr">
        <is>
          <t>Timezone is labeled/consistent; timestamp is not misleading.</t>
        </is>
      </c>
      <c r="I292" s="3" t="inlineStr">
        <is>
          <t>Not executed — record observed result during execution.</t>
        </is>
      </c>
      <c r="J292" s="5" t="inlineStr">
        <is>
          <t>Not Run</t>
        </is>
      </c>
      <c r="K292" s="3" t="inlineStr">
        <is>
          <t>Not captured — attach screenshot path or evidence link after execution.</t>
        </is>
      </c>
    </row>
    <row r="293" ht="63" customHeight="1">
      <c r="A293" s="6" t="inlineStr">
        <is>
          <t>EXT-12</t>
        </is>
      </c>
      <c r="B293" s="7" t="inlineStr">
        <is>
          <t>Operational, observability and recovery</t>
        </is>
      </c>
      <c r="C293" s="8" t="inlineStr">
        <is>
          <t>TC-292</t>
        </is>
      </c>
      <c r="D293" s="7" t="inlineStr">
        <is>
          <t>P1</t>
        </is>
      </c>
      <c r="E293" s="7" t="inlineStr">
        <is>
          <t>Health endpoint during idle</t>
        </is>
      </c>
      <c r="F293" s="7" t="inlineStr">
        <is>
          <t>API running.</t>
        </is>
      </c>
      <c r="G293" s="7" t="inlineStr">
        <is>
          <t>Poll GET / at agreed interval.</t>
        </is>
      </c>
      <c r="H293" s="7" t="inlineStr">
        <is>
          <t>Health responds consistently with expected status.</t>
        </is>
      </c>
      <c r="I293" s="7" t="inlineStr">
        <is>
          <t>Not executed — record observed result during execution.</t>
        </is>
      </c>
      <c r="J293" s="5" t="inlineStr">
        <is>
          <t>Not Run</t>
        </is>
      </c>
      <c r="K293" s="7" t="inlineStr">
        <is>
          <t>Not captured — attach screenshot path or evidence link after execution.</t>
        </is>
      </c>
    </row>
    <row r="294" ht="63" customHeight="1">
      <c r="A294" s="2" t="inlineStr">
        <is>
          <t>EXT-12</t>
        </is>
      </c>
      <c r="B294" s="3" t="inlineStr">
        <is>
          <t>Operational, observability and recovery</t>
        </is>
      </c>
      <c r="C294" s="4" t="inlineStr">
        <is>
          <t>TC-293</t>
        </is>
      </c>
      <c r="D294" s="3" t="inlineStr">
        <is>
          <t>P2</t>
        </is>
      </c>
      <c r="E294" s="3" t="inlineStr">
        <is>
          <t>Health endpoint during comparison</t>
        </is>
      </c>
      <c r="F294" s="3" t="inlineStr">
        <is>
          <t>Large synthetic comparison running.</t>
        </is>
      </c>
      <c r="G294" s="3" t="inlineStr">
        <is>
          <t>Poll health concurrently.</t>
        </is>
      </c>
      <c r="H294" s="3" t="inlineStr">
        <is>
          <t>Health behavior matches readiness/liveness policy.</t>
        </is>
      </c>
      <c r="I294" s="3" t="inlineStr">
        <is>
          <t>Not executed — record observed result during execution.</t>
        </is>
      </c>
      <c r="J294" s="5" t="inlineStr">
        <is>
          <t>Not Run</t>
        </is>
      </c>
      <c r="K294" s="3" t="inlineStr">
        <is>
          <t>Not captured — attach screenshot path or evidence link after execution.</t>
        </is>
      </c>
    </row>
    <row r="295" ht="63" customHeight="1">
      <c r="A295" s="6" t="inlineStr">
        <is>
          <t>EXT-12</t>
        </is>
      </c>
      <c r="B295" s="7" t="inlineStr">
        <is>
          <t>Operational, observability and recovery</t>
        </is>
      </c>
      <c r="C295" s="8" t="inlineStr">
        <is>
          <t>TC-294</t>
        </is>
      </c>
      <c r="D295" s="7" t="inlineStr">
        <is>
          <t>P1</t>
        </is>
      </c>
      <c r="E295" s="7" t="inlineStr">
        <is>
          <t>Backend restart during upload</t>
        </is>
      </c>
      <c r="F295" s="7" t="inlineStr">
        <is>
          <t>Upload request in progress.</t>
        </is>
      </c>
      <c r="G295" s="7" t="inlineStr">
        <is>
          <t>Restart backend during request.</t>
        </is>
      </c>
      <c r="H295" s="7" t="inlineStr">
        <is>
          <t>Client receives failure/timeout and can retry; no false successful preview.</t>
        </is>
      </c>
      <c r="I295" s="7" t="inlineStr">
        <is>
          <t>Not executed — record observed result during execution.</t>
        </is>
      </c>
      <c r="J295" s="5" t="inlineStr">
        <is>
          <t>Not Run</t>
        </is>
      </c>
      <c r="K295" s="7" t="inlineStr">
        <is>
          <t>Not captured — attach screenshot path or evidence link after execution.</t>
        </is>
      </c>
    </row>
    <row r="296" ht="63" customHeight="1">
      <c r="A296" s="2" t="inlineStr">
        <is>
          <t>EXT-12</t>
        </is>
      </c>
      <c r="B296" s="3" t="inlineStr">
        <is>
          <t>Operational, observability and recovery</t>
        </is>
      </c>
      <c r="C296" s="4" t="inlineStr">
        <is>
          <t>TC-295</t>
        </is>
      </c>
      <c r="D296" s="3" t="inlineStr">
        <is>
          <t>P1</t>
        </is>
      </c>
      <c r="E296" s="3" t="inlineStr">
        <is>
          <t>Backend restart during comparison</t>
        </is>
      </c>
      <c r="F296" s="3" t="inlineStr">
        <is>
          <t>Comparison request in progress.</t>
        </is>
      </c>
      <c r="G296" s="3" t="inlineStr">
        <is>
          <t>Restart backend during request.</t>
        </is>
      </c>
      <c r="H296" s="3" t="inlineStr">
        <is>
          <t>Client receives controlled error and understands run did not complete.</t>
        </is>
      </c>
      <c r="I296" s="3" t="inlineStr">
        <is>
          <t>Not executed — record observed result during execution.</t>
        </is>
      </c>
      <c r="J296" s="5" t="inlineStr">
        <is>
          <t>Not Run</t>
        </is>
      </c>
      <c r="K296" s="3" t="inlineStr">
        <is>
          <t>Not captured — attach screenshot path or evidence link after execution.</t>
        </is>
      </c>
    </row>
    <row r="297" ht="63" customHeight="1">
      <c r="A297" s="6" t="inlineStr">
        <is>
          <t>EXT-12</t>
        </is>
      </c>
      <c r="B297" s="7" t="inlineStr">
        <is>
          <t>Operational, observability and recovery</t>
        </is>
      </c>
      <c r="C297" s="8" t="inlineStr">
        <is>
          <t>TC-296</t>
        </is>
      </c>
      <c r="D297" s="7" t="inlineStr">
        <is>
          <t>P1</t>
        </is>
      </c>
      <c r="E297" s="7" t="inlineStr">
        <is>
          <t>Restart after completed comparison</t>
        </is>
      </c>
      <c r="F297" s="7" t="inlineStr">
        <is>
          <t>A run has completed.</t>
        </is>
      </c>
      <c r="G297" s="7" t="inlineStr">
        <is>
          <t>Restart backend and request old run ID.</t>
        </is>
      </c>
      <c r="H297" s="7" t="inlineStr">
        <is>
          <t>Old run is unavailable as documented for in-memory storage.</t>
        </is>
      </c>
      <c r="I297" s="7" t="inlineStr">
        <is>
          <t>Not executed — record observed result during execution.</t>
        </is>
      </c>
      <c r="J297" s="5" t="inlineStr">
        <is>
          <t>Not Run</t>
        </is>
      </c>
      <c r="K297" s="7" t="inlineStr">
        <is>
          <t>Not captured — attach screenshot path or evidence link after execution.</t>
        </is>
      </c>
    </row>
    <row r="298" ht="63" customHeight="1">
      <c r="A298" s="2" t="inlineStr">
        <is>
          <t>EXT-12</t>
        </is>
      </c>
      <c r="B298" s="3" t="inlineStr">
        <is>
          <t>Operational, observability and recovery</t>
        </is>
      </c>
      <c r="C298" s="4" t="inlineStr">
        <is>
          <t>TC-297</t>
        </is>
      </c>
      <c r="D298" s="3" t="inlineStr">
        <is>
          <t>P2</t>
        </is>
      </c>
      <c r="E298" s="3" t="inlineStr">
        <is>
          <t>Log successful request metadata</t>
        </is>
      </c>
      <c r="F298" s="3" t="inlineStr">
        <is>
          <t>Logging enabled.</t>
        </is>
      </c>
      <c r="G298" s="3" t="inlineStr">
        <is>
          <t>Perform preview, compare and export.</t>
        </is>
      </c>
      <c r="H298" s="3" t="inlineStr">
        <is>
          <t>Logs provide useful operational events without exposing file contents.</t>
        </is>
      </c>
      <c r="I298" s="3" t="inlineStr">
        <is>
          <t>Not executed — record observed result during execution.</t>
        </is>
      </c>
      <c r="J298" s="5" t="inlineStr">
        <is>
          <t>Not Run</t>
        </is>
      </c>
      <c r="K298" s="3" t="inlineStr">
        <is>
          <t>Not captured — attach screenshot path or evidence link after execution.</t>
        </is>
      </c>
    </row>
    <row r="299" ht="63" customHeight="1">
      <c r="A299" s="6" t="inlineStr">
        <is>
          <t>EXT-12</t>
        </is>
      </c>
      <c r="B299" s="7" t="inlineStr">
        <is>
          <t>Operational, observability and recovery</t>
        </is>
      </c>
      <c r="C299" s="8" t="inlineStr">
        <is>
          <t>TC-298</t>
        </is>
      </c>
      <c r="D299" s="7" t="inlineStr">
        <is>
          <t>P1</t>
        </is>
      </c>
      <c r="E299" s="7" t="inlineStr">
        <is>
          <t>Log parser failure without sensitive data</t>
        </is>
      </c>
      <c r="F299" s="7" t="inlineStr">
        <is>
          <t>Synthetic sensitive-looking sample.</t>
        </is>
      </c>
      <c r="G299" s="7" t="inlineStr">
        <is>
          <t>Trigger parse error and inspect logs.</t>
        </is>
      </c>
      <c r="H299" s="7" t="inlineStr">
        <is>
          <t>Failure is diagnosable; sample data and secrets are not logged.</t>
        </is>
      </c>
      <c r="I299" s="7" t="inlineStr">
        <is>
          <t>Not executed — record observed result during execution.</t>
        </is>
      </c>
      <c r="J299" s="5" t="inlineStr">
        <is>
          <t>Not Run</t>
        </is>
      </c>
      <c r="K299" s="7" t="inlineStr">
        <is>
          <t>Not captured — attach screenshot path or evidence link after execution.</t>
        </is>
      </c>
    </row>
    <row r="300" ht="63" customHeight="1">
      <c r="A300" s="2" t="inlineStr">
        <is>
          <t>EXT-12</t>
        </is>
      </c>
      <c r="B300" s="3" t="inlineStr">
        <is>
          <t>Operational, observability and recovery</t>
        </is>
      </c>
      <c r="C300" s="4" t="inlineStr">
        <is>
          <t>TC-299</t>
        </is>
      </c>
      <c r="D300" s="3" t="inlineStr">
        <is>
          <t>P2</t>
        </is>
      </c>
      <c r="E300" s="3" t="inlineStr">
        <is>
          <t>Invalid CORS configuration startup</t>
        </is>
      </c>
      <c r="F300" s="3" t="inlineStr">
        <is>
          <t>Configure empty/invalid FRONTEND_ORIGINS in test.</t>
        </is>
      </c>
      <c r="G300" s="3" t="inlineStr">
        <is>
          <t>Start API.</t>
        </is>
      </c>
      <c r="H300" s="3" t="inlineStr">
        <is>
          <t>Startup validation/failure is explicit; no accidental wildcard access.</t>
        </is>
      </c>
      <c r="I300" s="3" t="inlineStr">
        <is>
          <t>Not executed — record observed result during execution.</t>
        </is>
      </c>
      <c r="J300" s="5" t="inlineStr">
        <is>
          <t>Not Run</t>
        </is>
      </c>
      <c r="K300" s="3" t="inlineStr">
        <is>
          <t>Not captured — attach screenshot path or evidence link after execution.</t>
        </is>
      </c>
    </row>
    <row r="301" ht="63" customHeight="1">
      <c r="A301" s="6" t="inlineStr">
        <is>
          <t>EXT-12</t>
        </is>
      </c>
      <c r="B301" s="7" t="inlineStr">
        <is>
          <t>Operational, observability and recovery</t>
        </is>
      </c>
      <c r="C301" s="8" t="inlineStr">
        <is>
          <t>TC-300</t>
        </is>
      </c>
      <c r="D301" s="7" t="inlineStr">
        <is>
          <t>P2</t>
        </is>
      </c>
      <c r="E301" s="7" t="inlineStr">
        <is>
          <t>Environment variable changes</t>
        </is>
      </c>
      <c r="F301" s="7" t="inlineStr">
        <is>
          <t>Set VITE_API_URL and FRONTEND_ORIGINS.</t>
        </is>
      </c>
      <c r="G301" s="7" t="inlineStr">
        <is>
          <t>Restart services and inspect requests/preflight.</t>
        </is>
      </c>
      <c r="H301" s="7" t="inlineStr">
        <is>
          <t>Configuration takes effect only as documented and is not stale.</t>
        </is>
      </c>
      <c r="I301" s="7" t="inlineStr">
        <is>
          <t>Not executed — record observed result during execution.</t>
        </is>
      </c>
      <c r="J301" s="5" t="inlineStr">
        <is>
          <t>Not Run</t>
        </is>
      </c>
      <c r="K301" s="7" t="inlineStr">
        <is>
          <t>Not captured — attach screenshot path or evidence link after execution.</t>
        </is>
      </c>
    </row>
    <row r="302" ht="63" customHeight="1">
      <c r="A302" s="2" t="inlineStr">
        <is>
          <t>EXT-12</t>
        </is>
      </c>
      <c r="B302" s="3" t="inlineStr">
        <is>
          <t>Operational, observability and recovery</t>
        </is>
      </c>
      <c r="C302" s="4" t="inlineStr">
        <is>
          <t>TC-301</t>
        </is>
      </c>
      <c r="D302" s="3" t="inlineStr">
        <is>
          <t>P1</t>
        </is>
      </c>
      <c r="E302" s="3" t="inlineStr">
        <is>
          <t>Production build deployment smoke</t>
        </is>
      </c>
      <c r="F302" s="3" t="inlineStr">
        <is>
          <t>Build artifact deployed to staging.</t>
        </is>
      </c>
      <c r="G302" s="3" t="inlineStr">
        <is>
          <t>Open SPA, refresh route, upload, compare and export.</t>
        </is>
      </c>
      <c r="H302" s="3" t="inlineStr">
        <is>
          <t>Deployed assets, API routing and downloads work end-to-end.</t>
        </is>
      </c>
      <c r="I302" s="3" t="inlineStr">
        <is>
          <t>Not executed — record observed result during execution.</t>
        </is>
      </c>
      <c r="J302" s="5" t="inlineStr">
        <is>
          <t>Not Run</t>
        </is>
      </c>
      <c r="K302" s="3" t="inlineStr">
        <is>
          <t>Not captured — attach screenshot path or evidence link after execution.</t>
        </is>
      </c>
    </row>
    <row r="303" ht="63" customHeight="1">
      <c r="A303" s="6" t="inlineStr">
        <is>
          <t>EXT-12</t>
        </is>
      </c>
      <c r="B303" s="7" t="inlineStr">
        <is>
          <t>Operational, observability and recovery</t>
        </is>
      </c>
      <c r="C303" s="8" t="inlineStr">
        <is>
          <t>TC-302</t>
        </is>
      </c>
      <c r="D303" s="7" t="inlineStr">
        <is>
          <t>P2</t>
        </is>
      </c>
      <c r="E303" s="7" t="inlineStr">
        <is>
          <t>Backup/restore run data future gate</t>
        </is>
      </c>
      <c r="F303" s="7" t="inlineStr">
        <is>
          <t>Durable history implementation available.</t>
        </is>
      </c>
      <c r="G303" s="7" t="inlineStr">
        <is>
          <t>Backup database/object store, restore into isolated environment.</t>
        </is>
      </c>
      <c r="H303" s="7" t="inlineStr">
        <is>
          <t>Run metadata and reports recover with integrity; current in-memory build is not applicable.</t>
        </is>
      </c>
      <c r="I303" s="7" t="inlineStr">
        <is>
          <t>Not executed — record observed result during execution.</t>
        </is>
      </c>
      <c r="J303" s="5" t="inlineStr">
        <is>
          <t>Not Run</t>
        </is>
      </c>
      <c r="K303" s="7" t="inlineStr">
        <is>
          <t>Not captured — attach screenshot path or evidence link after execution.</t>
        </is>
      </c>
    </row>
  </sheetData>
  <autoFilter ref="A1:K303"/>
  <conditionalFormatting sqref="J2:J108">
    <cfRule type="expression" priority="1" dxfId="0">
      <formula>J2="Pass"</formula>
    </cfRule>
    <cfRule type="expression" priority="2" dxfId="1">
      <formula>J2="Fail"</formula>
    </cfRule>
    <cfRule type="expression" priority="3" dxfId="2">
      <formula>J2="Blocked"</formula>
    </cfRule>
    <cfRule type="expression" priority="4" dxfId="3">
      <formula>J2="Not Applicable"</formula>
    </cfRule>
  </conditionalFormatting>
  <conditionalFormatting sqref="J109:J303">
    <cfRule type="expression" priority="5" dxfId="0">
      <formula>J109="Pass"</formula>
    </cfRule>
    <cfRule type="expression" priority="6" dxfId="1">
      <formula>J109="Fail"</formula>
    </cfRule>
    <cfRule type="expression" priority="7" dxfId="2">
      <formula>J109="Blocked"</formula>
    </cfRule>
    <cfRule type="expression" priority="8" dxfId="3">
      <formula>J109="Not Applicable"</formula>
    </cfRule>
  </conditionalFormatting>
  <dataValidations count="2">
    <dataValidation sqref="J2:J108" showDropDown="0" showInputMessage="0" showErrorMessage="0" allowBlank="0" error="Select a status from the list." prompt="Update after executing this test case." type="list">
      <formula1>"Not Run,Pass,Fail,Blocked,Not Applicable"</formula1>
    </dataValidation>
    <dataValidation sqref="J109:J303" showDropDown="0" showInputMessage="0" showErrorMessage="0" allowBlank="0" type="list">
      <formula1>"Not Run,Pass,Fail,Blocked,Not Applicable"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9" t="inlineStr">
        <is>
          <t>Execution Metric</t>
        </is>
      </c>
      <c r="B1" s="9" t="inlineStr">
        <is>
          <t>Count / Value</t>
        </is>
      </c>
    </row>
    <row r="2">
      <c r="A2" s="10" t="inlineStr">
        <is>
          <t>Total test cases</t>
        </is>
      </c>
      <c r="B2" s="10">
        <f>COUNTA('Test Cases'!$C$2:$C$303)</f>
        <v/>
      </c>
    </row>
    <row r="3">
      <c r="A3" s="11" t="inlineStr">
        <is>
          <t>Passed</t>
        </is>
      </c>
      <c r="B3" s="11">
        <f>COUNTIF('Test Cases'!$J$2:$J$303,"Pass")</f>
        <v/>
      </c>
    </row>
    <row r="4">
      <c r="A4" s="10" t="inlineStr">
        <is>
          <t>Failed</t>
        </is>
      </c>
      <c r="B4" s="10">
        <f>COUNTIF('Test Cases'!$J$2:$J$303,"Fail")</f>
        <v/>
      </c>
    </row>
    <row r="5">
      <c r="A5" s="11" t="inlineStr">
        <is>
          <t>Blocked</t>
        </is>
      </c>
      <c r="B5" s="11">
        <f>COUNTIF('Test Cases'!$J$2:$J$303,"Blocked")</f>
        <v/>
      </c>
    </row>
    <row r="6">
      <c r="A6" s="10" t="inlineStr">
        <is>
          <t>Not run</t>
        </is>
      </c>
      <c r="B6" s="10">
        <f>COUNTIF('Test Cases'!$J$2:$J$303,"Not Run")</f>
        <v/>
      </c>
    </row>
    <row r="7">
      <c r="A7" s="11" t="inlineStr">
        <is>
          <t>Not applicable</t>
        </is>
      </c>
      <c r="B7" s="11">
        <f>COUNTIF('Test Cases'!$J$2:$J$303,"Not Applicable")</f>
        <v/>
      </c>
    </row>
    <row r="8">
      <c r="A8" s="10" t="inlineStr">
        <is>
          <t>Execution progress</t>
        </is>
      </c>
      <c r="B8" s="12">
        <f>IFERROR((B2-B6)/B2,0)</f>
        <v/>
      </c>
    </row>
    <row r="9">
      <c r="A9" s="11" t="inlineStr">
        <is>
          <t>Pass rate (executed only)</t>
        </is>
      </c>
      <c r="B9" s="13">
        <f>IFERROR(B3/(B3+B4),0)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72" customWidth="1" min="3" max="3"/>
    <col width="18" customWidth="1" min="4" max="4"/>
    <col width="85" customWidth="1" min="5" max="5"/>
    <col width="18" customWidth="1" min="6" max="6"/>
  </cols>
  <sheetData>
    <row r="1">
      <c r="A1" s="14" t="inlineStr">
        <is>
          <t>Scenario ID</t>
        </is>
      </c>
      <c r="B1" s="14" t="inlineStr">
        <is>
          <t>Scenario Group</t>
        </is>
      </c>
      <c r="C1" s="14" t="inlineStr">
        <is>
          <t>Coverage Objective</t>
        </is>
      </c>
      <c r="D1" s="14" t="inlineStr">
        <is>
          <t>Test Case Count</t>
        </is>
      </c>
      <c r="E1" s="14" t="inlineStr">
        <is>
          <t>Test Case IDs</t>
        </is>
      </c>
      <c r="F1" s="14" t="inlineStr">
        <is>
          <t>Execution Status</t>
        </is>
      </c>
    </row>
    <row r="2">
      <c r="A2" s="18" t="inlineStr">
        <is>
          <t>ENV-01</t>
        </is>
      </c>
      <c r="B2" s="18" t="inlineStr">
        <is>
          <t>Environment and application launch</t>
        </is>
      </c>
      <c r="C2" s="18" t="inlineStr">
        <is>
          <t>Existing coverage group retained from the original test pack.</t>
        </is>
      </c>
      <c r="D2" s="18" t="n">
        <v>5</v>
      </c>
      <c r="E2" s="18" t="inlineStr">
        <is>
          <t>TC-001, TC-002, TC-003, TC-004, TC-005</t>
        </is>
      </c>
      <c r="F2" s="18">
        <f>IF(COUNTIFS('Test Cases'!$A$2:$A$303,A2,'Test Cases'!$J$2:$J$303,"Fail")&gt;0,"Fail",IF(COUNTIFS('Test Cases'!$A$2:$A$303,A2,'Test Cases'!$J$2:$J$303,"Blocked")&gt;0,"Blocked",IF(COUNTIFS('Test Cases'!$A$2:$A$303,A2,'Test Cases'!$J$2:$J$303,"Not Run")&gt;0,"Not Run",IF(COUNTIFS('Test Cases'!$A$2:$A$303,A2,'Test Cases'!$J$2:$J$303,"Pass")&gt;0,"Pass","Not Applicable"))))</f>
        <v/>
      </c>
    </row>
    <row r="3">
      <c r="A3" s="18" t="inlineStr">
        <is>
          <t>UI-01</t>
        </is>
      </c>
      <c r="B3" s="18" t="inlineStr">
        <is>
          <t>Navigation, theme and responsive layout</t>
        </is>
      </c>
      <c r="C3" s="18" t="inlineStr">
        <is>
          <t>Existing coverage group retained from the original test pack.</t>
        </is>
      </c>
      <c r="D3" s="18" t="n">
        <v>6</v>
      </c>
      <c r="E3" s="18" t="inlineStr">
        <is>
          <t>TC-006, TC-007, TC-008, TC-009, TC-010, TC-011</t>
        </is>
      </c>
      <c r="F3" s="18">
        <f>IF(COUNTIFS('Test Cases'!$A$2:$A$303,A3,'Test Cases'!$J$2:$J$303,"Fail")&gt;0,"Fail",IF(COUNTIFS('Test Cases'!$A$2:$A$303,A3,'Test Cases'!$J$2:$J$303,"Blocked")&gt;0,"Blocked",IF(COUNTIFS('Test Cases'!$A$2:$A$303,A3,'Test Cases'!$J$2:$J$303,"Not Run")&gt;0,"Not Run",IF(COUNTIFS('Test Cases'!$A$2:$A$303,A3,'Test Cases'!$J$2:$J$303,"Pass")&gt;0,"Pass","Not Applicable"))))</f>
        <v/>
      </c>
    </row>
    <row r="4">
      <c r="A4" s="18" t="inlineStr">
        <is>
          <t>UPL-01</t>
        </is>
      </c>
      <c r="B4" s="18" t="inlineStr">
        <is>
          <t>Upload and file validation</t>
        </is>
      </c>
      <c r="C4" s="18" t="inlineStr">
        <is>
          <t>Existing coverage group retained from the original test pack.</t>
        </is>
      </c>
      <c r="D4" s="18" t="n">
        <v>11</v>
      </c>
      <c r="E4" s="18" t="inlineStr">
        <is>
          <t>TC-012, TC-013, TC-014, TC-015, TC-016, TC-017, TC-018, TC-019, TC-020, TC-021, TC-022</t>
        </is>
      </c>
      <c r="F4" s="18">
        <f>IF(COUNTIFS('Test Cases'!$A$2:$A$303,A4,'Test Cases'!$J$2:$J$303,"Fail")&gt;0,"Fail",IF(COUNTIFS('Test Cases'!$A$2:$A$303,A4,'Test Cases'!$J$2:$J$303,"Blocked")&gt;0,"Blocked",IF(COUNTIFS('Test Cases'!$A$2:$A$303,A4,'Test Cases'!$J$2:$J$303,"Not Run")&gt;0,"Not Run",IF(COUNTIFS('Test Cases'!$A$2:$A$303,A4,'Test Cases'!$J$2:$J$303,"Pass")&gt;0,"Pass","Not Applicable"))))</f>
        <v/>
      </c>
    </row>
    <row r="5">
      <c r="A5" s="18" t="inlineStr">
        <is>
          <t>PRE-01</t>
        </is>
      </c>
      <c r="B5" s="18" t="inlineStr">
        <is>
          <t>Data preview and inspection</t>
        </is>
      </c>
      <c r="C5" s="18" t="inlineStr">
        <is>
          <t>Existing coverage group retained from the original test pack.</t>
        </is>
      </c>
      <c r="D5" s="18" t="n">
        <v>6</v>
      </c>
      <c r="E5" s="18" t="inlineStr">
        <is>
          <t>TC-023, TC-024, TC-025, TC-026, TC-027, TC-028</t>
        </is>
      </c>
      <c r="F5" s="18">
        <f>IF(COUNTIFS('Test Cases'!$A$2:$A$303,A5,'Test Cases'!$J$2:$J$303,"Fail")&gt;0,"Fail",IF(COUNTIFS('Test Cases'!$A$2:$A$303,A5,'Test Cases'!$J$2:$J$303,"Blocked")&gt;0,"Blocked",IF(COUNTIFS('Test Cases'!$A$2:$A$303,A5,'Test Cases'!$J$2:$J$303,"Not Run")&gt;0,"Not Run",IF(COUNTIFS('Test Cases'!$A$2:$A$303,A5,'Test Cases'!$J$2:$J$303,"Pass")&gt;0,"Pass","Not Applicable"))))</f>
        <v/>
      </c>
    </row>
    <row r="6">
      <c r="A6" s="18" t="inlineStr">
        <is>
          <t>CFG-01</t>
        </is>
      </c>
      <c r="B6" s="18" t="inlineStr">
        <is>
          <t>Comparison settings and key selection</t>
        </is>
      </c>
      <c r="C6" s="18" t="inlineStr">
        <is>
          <t>Existing coverage group retained from the original test pack.</t>
        </is>
      </c>
      <c r="D6" s="18" t="n">
        <v>9</v>
      </c>
      <c r="E6" s="18" t="inlineStr">
        <is>
          <t>TC-029, TC-030, TC-031, TC-032, TC-033, TC-034, TC-035, TC-036, TC-037</t>
        </is>
      </c>
      <c r="F6" s="18">
        <f>IF(COUNTIFS('Test Cases'!$A$2:$A$303,A6,'Test Cases'!$J$2:$J$303,"Fail")&gt;0,"Fail",IF(COUNTIFS('Test Cases'!$A$2:$A$303,A6,'Test Cases'!$J$2:$J$303,"Blocked")&gt;0,"Blocked",IF(COUNTIFS('Test Cases'!$A$2:$A$303,A6,'Test Cases'!$J$2:$J$303,"Not Run")&gt;0,"Not Run",IF(COUNTIFS('Test Cases'!$A$2:$A$303,A6,'Test Cases'!$J$2:$J$303,"Pass")&gt;0,"Pass","Not Applicable"))))</f>
        <v/>
      </c>
    </row>
    <row r="7">
      <c r="A7" s="18" t="inlineStr">
        <is>
          <t>CMP-01</t>
        </is>
      </c>
      <c r="B7" s="18" t="inlineStr">
        <is>
          <t>Reconciliation correctness and summary</t>
        </is>
      </c>
      <c r="C7" s="18" t="inlineStr">
        <is>
          <t>Existing coverage group retained from the original test pack.</t>
        </is>
      </c>
      <c r="D7" s="18" t="n">
        <v>13</v>
      </c>
      <c r="E7" s="18" t="inlineStr">
        <is>
          <t>TC-038, TC-039, TC-040, TC-041, TC-042, TC-043, TC-044, TC-045, TC-046, TC-047, TC-048, TC-049, TC-050</t>
        </is>
      </c>
      <c r="F7" s="18">
        <f>IF(COUNTIFS('Test Cases'!$A$2:$A$303,A7,'Test Cases'!$J$2:$J$303,"Fail")&gt;0,"Fail",IF(COUNTIFS('Test Cases'!$A$2:$A$303,A7,'Test Cases'!$J$2:$J$303,"Blocked")&gt;0,"Blocked",IF(COUNTIFS('Test Cases'!$A$2:$A$303,A7,'Test Cases'!$J$2:$J$303,"Not Run")&gt;0,"Not Run",IF(COUNTIFS('Test Cases'!$A$2:$A$303,A7,'Test Cases'!$J$2:$J$303,"Pass")&gt;0,"Pass","Not Applicable"))))</f>
        <v/>
      </c>
    </row>
    <row r="8">
      <c r="A8" s="18" t="inlineStr">
        <is>
          <t>FIL-01</t>
        </is>
      </c>
      <c r="B8" s="18" t="inlineStr">
        <is>
          <t>Results table filtering and selection</t>
        </is>
      </c>
      <c r="C8" s="18" t="inlineStr">
        <is>
          <t>Existing coverage group retained from the original test pack.</t>
        </is>
      </c>
      <c r="D8" s="18" t="n">
        <v>9</v>
      </c>
      <c r="E8" s="18" t="inlineStr">
        <is>
          <t>TC-051, TC-052, TC-053, TC-054, TC-055, TC-056, TC-057, TC-058, TC-059</t>
        </is>
      </c>
      <c r="F8" s="18">
        <f>IF(COUNTIFS('Test Cases'!$A$2:$A$303,A8,'Test Cases'!$J$2:$J$303,"Fail")&gt;0,"Fail",IF(COUNTIFS('Test Cases'!$A$2:$A$303,A8,'Test Cases'!$J$2:$J$303,"Blocked")&gt;0,"Blocked",IF(COUNTIFS('Test Cases'!$A$2:$A$303,A8,'Test Cases'!$J$2:$J$303,"Not Run")&gt;0,"Not Run",IF(COUNTIFS('Test Cases'!$A$2:$A$303,A8,'Test Cases'!$J$2:$J$303,"Pass")&gt;0,"Pass","Not Applicable"))))</f>
        <v/>
      </c>
    </row>
    <row r="9">
      <c r="A9" s="18" t="inlineStr">
        <is>
          <t>ANA-01</t>
        </is>
      </c>
      <c r="B9" s="18" t="inlineStr">
        <is>
          <t>KPI and visual analytics</t>
        </is>
      </c>
      <c r="C9" s="18" t="inlineStr">
        <is>
          <t>Existing coverage group retained from the original test pack.</t>
        </is>
      </c>
      <c r="D9" s="18" t="n">
        <v>4</v>
      </c>
      <c r="E9" s="18" t="inlineStr">
        <is>
          <t>TC-060, TC-061, TC-062, TC-063</t>
        </is>
      </c>
      <c r="F9" s="18">
        <f>IF(COUNTIFS('Test Cases'!$A$2:$A$303,A9,'Test Cases'!$J$2:$J$303,"Fail")&gt;0,"Fail",IF(COUNTIFS('Test Cases'!$A$2:$A$303,A9,'Test Cases'!$J$2:$J$303,"Blocked")&gt;0,"Blocked",IF(COUNTIFS('Test Cases'!$A$2:$A$303,A9,'Test Cases'!$J$2:$J$303,"Not Run")&gt;0,"Not Run",IF(COUNTIFS('Test Cases'!$A$2:$A$303,A9,'Test Cases'!$J$2:$J$303,"Pass")&gt;0,"Pass","Not Applicable"))))</f>
        <v/>
      </c>
    </row>
    <row r="10">
      <c r="A10" s="18" t="inlineStr">
        <is>
          <t>EXP-01</t>
        </is>
      </c>
      <c r="B10" s="18" t="inlineStr">
        <is>
          <t>Report downloads and metadata</t>
        </is>
      </c>
      <c r="C10" s="18" t="inlineStr">
        <is>
          <t>Existing coverage group retained from the original test pack.</t>
        </is>
      </c>
      <c r="D10" s="18" t="n">
        <v>9</v>
      </c>
      <c r="E10" s="18" t="inlineStr">
        <is>
          <t>TC-064, TC-065, TC-066, TC-067, TC-068, TC-069, TC-070, TC-071, TC-072</t>
        </is>
      </c>
      <c r="F10" s="18">
        <f>IF(COUNTIFS('Test Cases'!$A$2:$A$303,A10,'Test Cases'!$J$2:$J$303,"Fail")&gt;0,"Fail",IF(COUNTIFS('Test Cases'!$A$2:$A$303,A10,'Test Cases'!$J$2:$J$303,"Blocked")&gt;0,"Blocked",IF(COUNTIFS('Test Cases'!$A$2:$A$303,A10,'Test Cases'!$J$2:$J$303,"Not Run")&gt;0,"Not Run",IF(COUNTIFS('Test Cases'!$A$2:$A$303,A10,'Test Cases'!$J$2:$J$303,"Pass")&gt;0,"Pass","Not Applicable"))))</f>
        <v/>
      </c>
    </row>
    <row r="11">
      <c r="A11" s="18" t="inlineStr">
        <is>
          <t>API-01</t>
        </is>
      </c>
      <c r="B11" s="18" t="inlineStr">
        <is>
          <t>REST API contract and pagination</t>
        </is>
      </c>
      <c r="C11" s="18" t="inlineStr">
        <is>
          <t>Existing coverage group retained from the original test pack.</t>
        </is>
      </c>
      <c r="D11" s="18" t="n">
        <v>10</v>
      </c>
      <c r="E11" s="18" t="inlineStr">
        <is>
          <t>TC-073, TC-074, TC-075, TC-076, TC-077, TC-078, TC-079, TC-080, TC-081, TC-082</t>
        </is>
      </c>
      <c r="F11" s="18">
        <f>IF(COUNTIFS('Test Cases'!$A$2:$A$303,A11,'Test Cases'!$J$2:$J$303,"Fail")&gt;0,"Fail",IF(COUNTIFS('Test Cases'!$A$2:$A$303,A11,'Test Cases'!$J$2:$J$303,"Blocked")&gt;0,"Blocked",IF(COUNTIFS('Test Cases'!$A$2:$A$303,A11,'Test Cases'!$J$2:$J$303,"Not Run")&gt;0,"Not Run",IF(COUNTIFS('Test Cases'!$A$2:$A$303,A11,'Test Cases'!$J$2:$J$303,"Pass")&gt;0,"Pass","Not Applicable"))))</f>
        <v/>
      </c>
    </row>
    <row r="12">
      <c r="A12" s="18" t="inlineStr">
        <is>
          <t>ERR-01</t>
        </is>
      </c>
      <c r="B12" s="18" t="inlineStr">
        <is>
          <t>Negative, resilience and input security</t>
        </is>
      </c>
      <c r="C12" s="18" t="inlineStr">
        <is>
          <t>Existing coverage group retained from the original test pack.</t>
        </is>
      </c>
      <c r="D12" s="18" t="n">
        <v>9</v>
      </c>
      <c r="E12" s="18" t="inlineStr">
        <is>
          <t>TC-083, TC-084, TC-085, TC-086, TC-087, TC-088, TC-089, TC-090, TC-091</t>
        </is>
      </c>
      <c r="F12" s="18">
        <f>IF(COUNTIFS('Test Cases'!$A$2:$A$303,A12,'Test Cases'!$J$2:$J$303,"Fail")&gt;0,"Fail",IF(COUNTIFS('Test Cases'!$A$2:$A$303,A12,'Test Cases'!$J$2:$J$303,"Blocked")&gt;0,"Blocked",IF(COUNTIFS('Test Cases'!$A$2:$A$303,A12,'Test Cases'!$J$2:$J$303,"Not Run")&gt;0,"Not Run",IF(COUNTIFS('Test Cases'!$A$2:$A$303,A12,'Test Cases'!$J$2:$J$303,"Pass")&gt;0,"Pass","Not Applicable"))))</f>
        <v/>
      </c>
    </row>
    <row r="13">
      <c r="A13" s="18" t="inlineStr">
        <is>
          <t>PERF-01</t>
        </is>
      </c>
      <c r="B13" s="18" t="inlineStr">
        <is>
          <t>Performance, capacity and reliability</t>
        </is>
      </c>
      <c r="C13" s="18" t="inlineStr">
        <is>
          <t>Existing coverage group retained from the original test pack.</t>
        </is>
      </c>
      <c r="D13" s="18" t="n">
        <v>6</v>
      </c>
      <c r="E13" s="18" t="inlineStr">
        <is>
          <t>TC-092, TC-093, TC-094, TC-095, TC-096, TC-097</t>
        </is>
      </c>
      <c r="F13" s="18">
        <f>IF(COUNTIFS('Test Cases'!$A$2:$A$303,A13,'Test Cases'!$J$2:$J$303,"Fail")&gt;0,"Fail",IF(COUNTIFS('Test Cases'!$A$2:$A$303,A13,'Test Cases'!$J$2:$J$303,"Blocked")&gt;0,"Blocked",IF(COUNTIFS('Test Cases'!$A$2:$A$303,A13,'Test Cases'!$J$2:$J$303,"Not Run")&gt;0,"Not Run",IF(COUNTIFS('Test Cases'!$A$2:$A$303,A13,'Test Cases'!$J$2:$J$303,"Pass")&gt;0,"Pass","Not Applicable"))))</f>
        <v/>
      </c>
    </row>
    <row r="14">
      <c r="A14" s="18" t="inlineStr">
        <is>
          <t>A11Y-01</t>
        </is>
      </c>
      <c r="B14" s="18" t="inlineStr">
        <is>
          <t>Accessibility and usability</t>
        </is>
      </c>
      <c r="C14" s="18" t="inlineStr">
        <is>
          <t>Existing coverage group retained from the original test pack.</t>
        </is>
      </c>
      <c r="D14" s="18" t="n">
        <v>5</v>
      </c>
      <c r="E14" s="18" t="inlineStr">
        <is>
          <t>TC-098, TC-099, TC-100, TC-101, TC-102</t>
        </is>
      </c>
      <c r="F14" s="18">
        <f>IF(COUNTIFS('Test Cases'!$A$2:$A$303,A14,'Test Cases'!$J$2:$J$303,"Fail")&gt;0,"Fail",IF(COUNTIFS('Test Cases'!$A$2:$A$303,A14,'Test Cases'!$J$2:$J$303,"Blocked")&gt;0,"Blocked",IF(COUNTIFS('Test Cases'!$A$2:$A$303,A14,'Test Cases'!$J$2:$J$303,"Not Run")&gt;0,"Not Run",IF(COUNTIFS('Test Cases'!$A$2:$A$303,A14,'Test Cases'!$J$2:$J$303,"Pass")&gt;0,"Pass","Not Applicable"))))</f>
        <v/>
      </c>
    </row>
    <row r="15">
      <c r="A15" s="18" t="inlineStr">
        <is>
          <t>COMPAT-01</t>
        </is>
      </c>
      <c r="B15" s="18" t="inlineStr">
        <is>
          <t>Browser compatibility and session lifecycle</t>
        </is>
      </c>
      <c r="C15" s="18" t="inlineStr">
        <is>
          <t>Existing coverage group retained from the original test pack.</t>
        </is>
      </c>
      <c r="D15" s="18" t="n">
        <v>5</v>
      </c>
      <c r="E15" s="18" t="inlineStr">
        <is>
          <t>TC-103, TC-104, TC-105, TC-106, TC-107</t>
        </is>
      </c>
      <c r="F15" s="18">
        <f>IF(COUNTIFS('Test Cases'!$A$2:$A$303,A15,'Test Cases'!$J$2:$J$303,"Fail")&gt;0,"Fail",IF(COUNTIFS('Test Cases'!$A$2:$A$303,A15,'Test Cases'!$J$2:$J$303,"Blocked")&gt;0,"Blocked",IF(COUNTIFS('Test Cases'!$A$2:$A$303,A15,'Test Cases'!$J$2:$J$303,"Not Run")&gt;0,"Not Run",IF(COUNTIFS('Test Cases'!$A$2:$A$303,A15,'Test Cases'!$J$2:$J$303,"Pass")&gt;0,"Pass","Not Applicable"))))</f>
        <v/>
      </c>
    </row>
    <row r="16">
      <c r="A16" s="18" t="inlineStr">
        <is>
          <t>EXT-01</t>
        </is>
      </c>
      <c r="B16" s="18" t="inlineStr">
        <is>
          <t>File format and encoding matrix</t>
        </is>
      </c>
      <c r="C16" s="18" t="inlineStr">
        <is>
          <t>Exercise source/target format pairings, text encodings and common delimiters.</t>
        </is>
      </c>
      <c r="D16" s="18" t="n">
        <v>30</v>
      </c>
      <c r="E16" s="18" t="inlineStr">
        <is>
          <t>TC-108, TC-109, TC-110, TC-111, TC-112, TC-113, TC-114, TC-115, TC-116, TC-117, TC-118, TC-119, TC-120, TC-121, TC-122, TC-123, TC-124, TC-125, TC-126, TC-127, TC-128, TC-129, TC-130, TC-131, TC-132, TC-133, TC-134, TC-135, TC-136, TC-137</t>
        </is>
      </c>
      <c r="F16" s="18">
        <f>IF(COUNTIFS('Test Cases'!$A$2:$A$303,A16,'Test Cases'!$J$2:$J$303,"Fail")&gt;0,"Fail",IF(COUNTIFS('Test Cases'!$A$2:$A$303,A16,'Test Cases'!$J$2:$J$303,"Blocked")&gt;0,"Blocked",IF(COUNTIFS('Test Cases'!$A$2:$A$303,A16,'Test Cases'!$J$2:$J$303,"Not Run")&gt;0,"Not Run",IF(COUNTIFS('Test Cases'!$A$2:$A$303,A16,'Test Cases'!$J$2:$J$303,"Pass")&gt;0,"Pass","Not Applicable"))))</f>
        <v/>
      </c>
    </row>
    <row r="17">
      <c r="A17" s="18" t="inlineStr">
        <is>
          <t>EXT-02</t>
        </is>
      </c>
      <c r="B17" s="18" t="inlineStr">
        <is>
          <t>CSV schema and row-shape edge cases</t>
        </is>
      </c>
      <c r="C17" s="18" t="inlineStr">
        <is>
          <t>Cover header ordering, row widths, values, null markers and empty data.</t>
        </is>
      </c>
      <c r="D17" s="18" t="n">
        <v>24</v>
      </c>
      <c r="E17" s="18" t="inlineStr">
        <is>
          <t>TC-138, TC-139, TC-140, TC-141, TC-142, TC-143, TC-144, TC-145, TC-146, TC-147, TC-148, TC-149, TC-150, TC-151, TC-152, TC-153, TC-154, TC-155, TC-156, TC-157, TC-158, TC-159, TC-160, TC-161</t>
        </is>
      </c>
      <c r="F17" s="18">
        <f>IF(COUNTIFS('Test Cases'!$A$2:$A$303,A17,'Test Cases'!$J$2:$J$303,"Fail")&gt;0,"Fail",IF(COUNTIFS('Test Cases'!$A$2:$A$303,A17,'Test Cases'!$J$2:$J$303,"Blocked")&gt;0,"Blocked",IF(COUNTIFS('Test Cases'!$A$2:$A$303,A17,'Test Cases'!$J$2:$J$303,"Not Run")&gt;0,"Not Run",IF(COUNTIFS('Test Cases'!$A$2:$A$303,A17,'Test Cases'!$J$2:$J$303,"Pass")&gt;0,"Pass","Not Applicable"))))</f>
        <v/>
      </c>
    </row>
    <row r="18">
      <c r="A18" s="18" t="inlineStr">
        <is>
          <t>EXT-03</t>
        </is>
      </c>
      <c r="B18" s="18" t="inlineStr">
        <is>
          <t>Primary key and composite identity boundaries</t>
        </is>
      </c>
      <c r="C18" s="18" t="inlineStr">
        <is>
          <t>Test typed keys, composite collisions, duplicate detection and high-cardinality keys.</t>
        </is>
      </c>
      <c r="D18" s="18" t="n">
        <v>16</v>
      </c>
      <c r="E18" s="18" t="inlineStr">
        <is>
          <t>TC-162, TC-163, TC-164, TC-165, TC-166, TC-167, TC-168, TC-169, TC-170, TC-171, TC-172, TC-173, TC-174, TC-175, TC-176, TC-177</t>
        </is>
      </c>
      <c r="F18" s="18">
        <f>IF(COUNTIFS('Test Cases'!$A$2:$A$303,A18,'Test Cases'!$J$2:$J$303,"Fail")&gt;0,"Fail",IF(COUNTIFS('Test Cases'!$A$2:$A$303,A18,'Test Cases'!$J$2:$J$303,"Blocked")&gt;0,"Blocked",IF(COUNTIFS('Test Cases'!$A$2:$A$303,A18,'Test Cases'!$J$2:$J$303,"Not Run")&gt;0,"Not Run",IF(COUNTIFS('Test Cases'!$A$2:$A$303,A18,'Test Cases'!$J$2:$J$303,"Pass")&gt;0,"Pass","Not Applicable"))))</f>
        <v/>
      </c>
    </row>
    <row r="19">
      <c r="A19" s="18" t="inlineStr">
        <is>
          <t>EXT-04</t>
        </is>
      </c>
      <c r="B19" s="18" t="inlineStr">
        <is>
          <t>Comparison option truth table</t>
        </is>
      </c>
      <c r="C19" s="18" t="inlineStr">
        <is>
          <t>Exercise all combinations of case, whitespace and null difference options.</t>
        </is>
      </c>
      <c r="D19" s="18" t="n">
        <v>14</v>
      </c>
      <c r="E19" s="18" t="inlineStr">
        <is>
          <t>TC-178, TC-179, TC-180, TC-181, TC-182, TC-183, TC-184, TC-185, TC-186, TC-187, TC-188, TC-189, TC-190, TC-191</t>
        </is>
      </c>
      <c r="F19" s="18">
        <f>IF(COUNTIFS('Test Cases'!$A$2:$A$303,A19,'Test Cases'!$J$2:$J$303,"Fail")&gt;0,"Fail",IF(COUNTIFS('Test Cases'!$A$2:$A$303,A19,'Test Cases'!$J$2:$J$303,"Blocked")&gt;0,"Blocked",IF(COUNTIFS('Test Cases'!$A$2:$A$303,A19,'Test Cases'!$J$2:$J$303,"Not Run")&gt;0,"Not Run",IF(COUNTIFS('Test Cases'!$A$2:$A$303,A19,'Test Cases'!$J$2:$J$303,"Pass")&gt;0,"Pass","Not Applicable"))))</f>
        <v/>
      </c>
    </row>
    <row r="20">
      <c r="A20" s="18" t="inlineStr">
        <is>
          <t>EXT-05</t>
        </is>
      </c>
      <c r="B20" s="18" t="inlineStr">
        <is>
          <t>Results, filtering, sorting and selection boundaries</t>
        </is>
      </c>
      <c r="C20" s="18" t="inlineStr">
        <is>
          <t>Test result-table state transitions, pagination boundaries and export selections.</t>
        </is>
      </c>
      <c r="D20" s="18" t="n">
        <v>16</v>
      </c>
      <c r="E20" s="18" t="inlineStr">
        <is>
          <t>TC-192, TC-193, TC-194, TC-195, TC-196, TC-197, TC-198, TC-199, TC-200, TC-201, TC-202, TC-203, TC-204, TC-205, TC-206, TC-207</t>
        </is>
      </c>
      <c r="F20" s="18">
        <f>IF(COUNTIFS('Test Cases'!$A$2:$A$303,A20,'Test Cases'!$J$2:$J$303,"Fail")&gt;0,"Fail",IF(COUNTIFS('Test Cases'!$A$2:$A$303,A20,'Test Cases'!$J$2:$J$303,"Blocked")&gt;0,"Blocked",IF(COUNTIFS('Test Cases'!$A$2:$A$303,A20,'Test Cases'!$J$2:$J$303,"Not Run")&gt;0,"Not Run",IF(COUNTIFS('Test Cases'!$A$2:$A$303,A20,'Test Cases'!$J$2:$J$303,"Pass")&gt;0,"Pass","Not Applicable"))))</f>
        <v/>
      </c>
    </row>
    <row r="21">
      <c r="A21" s="18" t="inlineStr">
        <is>
          <t>EXT-06</t>
        </is>
      </c>
      <c r="B21" s="18" t="inlineStr">
        <is>
          <t>API validation and HTTP contract boundaries</t>
        </is>
      </c>
      <c r="C21" s="18" t="inlineStr">
        <is>
          <t>Exercise malformed parameters, status codes, missing fields, and pagination constraints.</t>
        </is>
      </c>
      <c r="D21" s="18" t="n">
        <v>15</v>
      </c>
      <c r="E21" s="18" t="inlineStr">
        <is>
          <t>TC-208, TC-209, TC-210, TC-211, TC-212, TC-213, TC-214, TC-215, TC-216, TC-217, TC-218, TC-219, TC-220, TC-221, TC-222</t>
        </is>
      </c>
      <c r="F21" s="18">
        <f>IF(COUNTIFS('Test Cases'!$A$2:$A$303,A21,'Test Cases'!$J$2:$J$303,"Fail")&gt;0,"Fail",IF(COUNTIFS('Test Cases'!$A$2:$A$303,A21,'Test Cases'!$J$2:$J$303,"Blocked")&gt;0,"Blocked",IF(COUNTIFS('Test Cases'!$A$2:$A$303,A21,'Test Cases'!$J$2:$J$303,"Not Run")&gt;0,"Not Run",IF(COUNTIFS('Test Cases'!$A$2:$A$303,A21,'Test Cases'!$J$2:$J$303,"Pass")&gt;0,"Pass","Not Applicable"))))</f>
        <v/>
      </c>
    </row>
    <row r="22">
      <c r="A22" s="18" t="inlineStr">
        <is>
          <t>EXT-07</t>
        </is>
      </c>
      <c r="B22" s="18" t="inlineStr">
        <is>
          <t>Authentication, authorization and deployment security gates</t>
        </is>
      </c>
      <c r="C22" s="18" t="inlineStr">
        <is>
          <t>Define release-gate tests for security controls and deployment configuration.</t>
        </is>
      </c>
      <c r="D22" s="18" t="n">
        <v>18</v>
      </c>
      <c r="E22" s="18" t="inlineStr">
        <is>
          <t>TC-223, TC-224, TC-225, TC-226, TC-227, TC-228, TC-229, TC-230, TC-231, TC-232, TC-233, TC-234, TC-235, TC-236, TC-237, TC-238, TC-239, TC-240</t>
        </is>
      </c>
      <c r="F22" s="18">
        <f>IF(COUNTIFS('Test Cases'!$A$2:$A$303,A22,'Test Cases'!$J$2:$J$303,"Fail")&gt;0,"Fail",IF(COUNTIFS('Test Cases'!$A$2:$A$303,A22,'Test Cases'!$J$2:$J$303,"Blocked")&gt;0,"Blocked",IF(COUNTIFS('Test Cases'!$A$2:$A$303,A22,'Test Cases'!$J$2:$J$303,"Not Run")&gt;0,"Not Run",IF(COUNTIFS('Test Cases'!$A$2:$A$303,A22,'Test Cases'!$J$2:$J$303,"Pass")&gt;0,"Pass","Not Applicable"))))</f>
        <v/>
      </c>
    </row>
    <row r="23">
      <c r="A23" s="18" t="inlineStr">
        <is>
          <t>EXT-08</t>
        </is>
      </c>
      <c r="B23" s="18" t="inlineStr">
        <is>
          <t>Frontend loading, stale state and error recovery</t>
        </is>
      </c>
      <c r="C23" s="18" t="inlineStr">
        <is>
          <t>Exercise asynchronous transitions, repeated clicks, concurrent previews and cleanup.</t>
        </is>
      </c>
      <c r="D23" s="18" t="n">
        <v>15</v>
      </c>
      <c r="E23" s="18" t="inlineStr">
        <is>
          <t>TC-241, TC-242, TC-243, TC-244, TC-245, TC-246, TC-247, TC-248, TC-249, TC-250, TC-251, TC-252, TC-253, TC-254, TC-255</t>
        </is>
      </c>
      <c r="F23" s="18">
        <f>IF(COUNTIFS('Test Cases'!$A$2:$A$303,A23,'Test Cases'!$J$2:$J$303,"Fail")&gt;0,"Fail",IF(COUNTIFS('Test Cases'!$A$2:$A$303,A23,'Test Cases'!$J$2:$J$303,"Blocked")&gt;0,"Blocked",IF(COUNTIFS('Test Cases'!$A$2:$A$303,A23,'Test Cases'!$J$2:$J$303,"Not Run")&gt;0,"Not Run",IF(COUNTIFS('Test Cases'!$A$2:$A$303,A23,'Test Cases'!$J$2:$J$303,"Pass")&gt;0,"Pass","Not Applicable"))))</f>
        <v/>
      </c>
    </row>
    <row r="24">
      <c r="A24" s="18" t="inlineStr">
        <is>
          <t>EXT-09</t>
        </is>
      </c>
      <c r="B24" s="18" t="inlineStr">
        <is>
          <t>Reports and export fidelity</t>
        </is>
      </c>
      <c r="C24" s="18" t="inlineStr">
        <is>
          <t>Inspect file integrity, escaping, large exports, report structure and selection behavior.</t>
        </is>
      </c>
      <c r="D24" s="18" t="n">
        <v>12</v>
      </c>
      <c r="E24" s="18" t="inlineStr">
        <is>
          <t>TC-256, TC-257, TC-258, TC-259, TC-260, TC-261, TC-262, TC-263, TC-264, TC-265, TC-266, TC-267</t>
        </is>
      </c>
      <c r="F24" s="18">
        <f>IF(COUNTIFS('Test Cases'!$A$2:$A$303,A24,'Test Cases'!$J$2:$J$303,"Fail")&gt;0,"Fail",IF(COUNTIFS('Test Cases'!$A$2:$A$303,A24,'Test Cases'!$J$2:$J$303,"Blocked")&gt;0,"Blocked",IF(COUNTIFS('Test Cases'!$A$2:$A$303,A24,'Test Cases'!$J$2:$J$303,"Not Run")&gt;0,"Not Run",IF(COUNTIFS('Test Cases'!$A$2:$A$303,A24,'Test Cases'!$J$2:$J$303,"Pass")&gt;0,"Pass","Not Applicable"))))</f>
        <v/>
      </c>
    </row>
    <row r="25">
      <c r="A25" s="18" t="inlineStr">
        <is>
          <t>EXT-10</t>
        </is>
      </c>
      <c r="B25" s="18" t="inlineStr">
        <is>
          <t>Performance and capacity extensions</t>
        </is>
      </c>
      <c r="C25" s="18" t="inlineStr">
        <is>
          <t>Cover boundary sizes, skewed workloads, latency, resource usage and concurrent users.</t>
        </is>
      </c>
      <c r="D25" s="18" t="n">
        <v>14</v>
      </c>
      <c r="E25" s="18" t="inlineStr">
        <is>
          <t>TC-268, TC-269, TC-270, TC-271, TC-272, TC-273, TC-274, TC-275, TC-276, TC-277, TC-278, TC-279, TC-280, TC-281</t>
        </is>
      </c>
      <c r="F25" s="18">
        <f>IF(COUNTIFS('Test Cases'!$A$2:$A$303,A25,'Test Cases'!$J$2:$J$303,"Fail")&gt;0,"Fail",IF(COUNTIFS('Test Cases'!$A$2:$A$303,A25,'Test Cases'!$J$2:$J$303,"Blocked")&gt;0,"Blocked",IF(COUNTIFS('Test Cases'!$A$2:$A$303,A25,'Test Cases'!$J$2:$J$303,"Not Run")&gt;0,"Not Run",IF(COUNTIFS('Test Cases'!$A$2:$A$303,A25,'Test Cases'!$J$2:$J$303,"Pass")&gt;0,"Pass","Not Applicable"))))</f>
        <v/>
      </c>
    </row>
    <row r="26">
      <c r="A26" s="18" t="inlineStr">
        <is>
          <t>EXT-11</t>
        </is>
      </c>
      <c r="B26" s="18" t="inlineStr">
        <is>
          <t>Accessibility, localization and browser presentation</t>
        </is>
      </c>
      <c r="C26" s="18" t="inlineStr">
        <is>
          <t>Extend usability coverage to zoom, reduced motion, localization and assistive technology.</t>
        </is>
      </c>
      <c r="D26" s="18" t="n">
        <v>10</v>
      </c>
      <c r="E26" s="18" t="inlineStr">
        <is>
          <t>TC-282, TC-283, TC-284, TC-285, TC-286, TC-287, TC-288, TC-289, TC-290, TC-291</t>
        </is>
      </c>
      <c r="F26" s="18">
        <f>IF(COUNTIFS('Test Cases'!$A$2:$A$303,A26,'Test Cases'!$J$2:$J$303,"Fail")&gt;0,"Fail",IF(COUNTIFS('Test Cases'!$A$2:$A$303,A26,'Test Cases'!$J$2:$J$303,"Blocked")&gt;0,"Blocked",IF(COUNTIFS('Test Cases'!$A$2:$A$303,A26,'Test Cases'!$J$2:$J$303,"Not Run")&gt;0,"Not Run",IF(COUNTIFS('Test Cases'!$A$2:$A$303,A26,'Test Cases'!$J$2:$J$303,"Pass")&gt;0,"Pass","Not Applicable"))))</f>
        <v/>
      </c>
    </row>
    <row r="27">
      <c r="A27" s="18" t="inlineStr">
        <is>
          <t>EXT-12</t>
        </is>
      </c>
      <c r="B27" s="18" t="inlineStr">
        <is>
          <t>Operational, observability and recovery</t>
        </is>
      </c>
      <c r="C27" s="18" t="inlineStr">
        <is>
          <t>Verify logs, restart behavior, health monitoring, configuration and backup/recovery gates.</t>
        </is>
      </c>
      <c r="D27" s="18" t="n">
        <v>11</v>
      </c>
      <c r="E27" s="18" t="inlineStr">
        <is>
          <t>TC-292, TC-293, TC-294, TC-295, TC-296, TC-297, TC-298, TC-299, TC-300, TC-301, TC-302</t>
        </is>
      </c>
      <c r="F27" s="18">
        <f>IF(COUNTIFS('Test Cases'!$A$2:$A$303,A27,'Test Cases'!$J$2:$J$303,"Fail")&gt;0,"Fail",IF(COUNTIFS('Test Cases'!$A$2:$A$303,A27,'Test Cases'!$J$2:$J$303,"Blocked")&gt;0,"Blocked",IF(COUNTIFS('Test Cases'!$A$2:$A$303,A27,'Test Cases'!$J$2:$J$303,"Not Run")&gt;0,"Not Run",IF(COUNTIFS('Test Cases'!$A$2:$A$303,A27,'Test Cases'!$J$2:$J$303,"Pass")&gt;0,"Pass","Not Applicable"))))</f>
        <v/>
      </c>
    </row>
  </sheetData>
  <autoFilter ref="A1:F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36" customHeight="1">
      <c r="A1" s="15" t="inlineStr">
        <is>
          <t>RECONCILEIQ — QA TEST PACK</t>
        </is>
      </c>
    </row>
    <row r="2" ht="46" customHeight="1">
      <c r="A2" s="16" t="inlineStr">
        <is>
          <t>Purpose</t>
        </is>
      </c>
      <c r="B2" s="17" t="inlineStr">
        <is>
          <t>Scenario-grouped functional, API, negative, performance, accessibility and compatibility coverage for the current ReconcileIQ implementation.</t>
        </is>
      </c>
    </row>
    <row r="3" ht="46" customHeight="1">
      <c r="A3" s="16" t="inlineStr">
        <is>
          <t>How to execute</t>
        </is>
      </c>
      <c r="B3" s="17" t="inlineStr">
        <is>
          <t>Execute each Test Case ID. Record observed behavior in Actual Result, choose a status, and attach a screenshot/evidence path. Do not mark Pass based only on expected behavior.</t>
        </is>
      </c>
    </row>
    <row r="4" ht="46" customHeight="1">
      <c r="A4" s="16" t="inlineStr">
        <is>
          <t>Status definitions</t>
        </is>
      </c>
      <c r="B4" s="17" t="inlineStr">
        <is>
          <t>Not Run = not executed; Pass = actual meets expected; Fail = actual differs; Blocked = dependency/environment prevents execution; Not Applicable = formally excluded and reason recorded.</t>
        </is>
      </c>
    </row>
    <row r="5" ht="46" customHeight="1">
      <c r="A5" s="16" t="inlineStr">
        <is>
          <t>Screenshot evidence</t>
        </is>
      </c>
      <c r="B5" s="17" t="inlineStr">
        <is>
          <t>Capture the relevant UI state, browser network response, or API response. Use a stable name such as TC-001.png. Avoid screenshots containing sensitive production data.</t>
        </is>
      </c>
    </row>
    <row r="6" ht="46" customHeight="1">
      <c r="A6" s="16" t="inlineStr">
        <is>
          <t>Environment record</t>
        </is>
      </c>
      <c r="B6" s="17" t="inlineStr">
        <is>
          <t>Record tester, date, build/version, OS/browser, API URL, and test environment when execution begins.</t>
        </is>
      </c>
    </row>
    <row r="7" ht="70" customHeight="1">
      <c r="A7" s="16" t="inlineStr">
        <is>
          <t>Sample Source CSV</t>
        </is>
      </c>
      <c r="B7" s="17" t="inlineStr">
        <is>
          <t>EMPID,REGION,NAME,AMOUNT,NOTE
1001,West,Ana,125.00,Ready
1002,East,Ben,200.00,Blank
1003,West,Cy,75.00,OnlySource</t>
        </is>
      </c>
    </row>
    <row r="8" ht="70" customHeight="1">
      <c r="A8" s="16" t="inlineStr">
        <is>
          <t>Sample Target CSV</t>
        </is>
      </c>
      <c r="B8" s="17" t="inlineStr">
        <is>
          <t>EMPID,REGION,NAME,AMOUNT,NOTE
1001,West,Ana,125.00,Ready
1002,East,Ben,225.00,Blank
1004,South,Dee,50.00,OnlyTarget</t>
        </is>
      </c>
    </row>
    <row r="9" ht="46" customHeight="1">
      <c r="A9" s="16" t="inlineStr">
        <is>
          <t>Sample expected result</t>
        </is>
      </c>
      <c r="B9" s="17" t="inlineStr">
        <is>
          <t>Using EMPID: total=4, matched=1, mismatched=1 (1002/AMOUNT), missing_source=1 (1004), missing_target=1 (1003), success_rate=25%.</t>
        </is>
      </c>
    </row>
    <row r="10" ht="46" customHeight="1">
      <c r="A10" s="16" t="inlineStr">
        <is>
          <t>Supported formats and limit</t>
        </is>
      </c>
      <c r="B10" s="17" t="inlineStr">
        <is>
          <t>CSV, XLSX, XLS and TXT. TXT delimiter is auto-detected. API upload limit is 100 MB per file.</t>
        </is>
      </c>
    </row>
    <row r="11" ht="46" customHeight="1">
      <c r="A11" s="16" t="inlineStr">
        <is>
          <t>Current session lifecycle</t>
        </is>
      </c>
      <c r="B11" s="17" t="inlineStr">
        <is>
          <t>Runs are held in process memory, expire after 30 minutes, and at most three are retained. A backend restart clears runs.</t>
        </is>
      </c>
    </row>
    <row r="12" ht="46" customHeight="1">
      <c r="A12" s="16" t="inlineStr">
        <is>
          <t>Performance test notes</t>
        </is>
      </c>
      <c r="B12" s="17" t="inlineStr">
        <is>
          <t>Record file size, row count, hardware, elapsed time, peak memory, status and agreed SLA. A local smoke measurement is not a production SLA.</t>
        </is>
      </c>
    </row>
    <row r="13" ht="46" customHeight="1">
      <c r="A13" s="16" t="inlineStr">
        <is>
          <t>Known scope gaps</t>
        </is>
      </c>
      <c r="B13" s="17" t="inlineStr">
        <is>
          <t>Authentication/roles and durable history are not implemented. Historical trends are unavailable without persisted run history. Track as product gaps, not passed tests.</t>
        </is>
      </c>
    </row>
    <row r="14" ht="46" customHeight="1">
      <c r="A14" s="16" t="inlineStr">
        <is>
          <t>Total scenarios</t>
        </is>
      </c>
      <c r="B14" s="17" t="inlineStr">
        <is>
          <t>14</t>
        </is>
      </c>
    </row>
    <row r="15" ht="46" customHeight="1">
      <c r="A15" s="16" t="inlineStr">
        <is>
          <t>Total test cases</t>
        </is>
      </c>
      <c r="B15" s="17" t="inlineStr">
        <is>
          <t>107</t>
        </is>
      </c>
    </row>
    <row r="16">
      <c r="A16" t="inlineStr">
        <is>
          <t>Expanded coverage</t>
        </is>
      </c>
      <c r="B16" t="inlineStr">
        <is>
          <t>Expanded with 12 additional scenario groups; total grouped coverage is 26 scenarios and 302 test cases.</t>
        </is>
      </c>
    </row>
    <row r="17">
      <c r="A17" t="inlineStr">
        <is>
          <t>Coverage limitation</t>
        </is>
      </c>
      <c r="B17" t="inlineStr">
        <is>
          <t>No finite test suite can cover every possible input, environment, timing and interaction. This is a broad risk-based and boundary-focused suite, not a mathematical proof of exhaustiveness. Use risk analysis, production telemetry and new defects to extend it.</t>
        </is>
      </c>
    </row>
    <row r="18">
      <c r="A18" t="inlineStr">
        <is>
          <t>Combination strategy</t>
        </is>
      </c>
      <c r="B18" t="inlineStr">
        <is>
          <t>The comparison option truth table explicitly covers all 8 combinations of ignore-case, ignore-whitespace and ignore-null. File-format and browser pairings are representative; add pairwise/exhaustive automation for each release target.</t>
        </is>
      </c>
    </row>
    <row r="19">
      <c r="A19" t="inlineStr">
        <is>
          <t>Feature availability note</t>
        </is>
      </c>
      <c r="B19" t="inlineStr">
        <is>
          <t>Authentication, tenant isolation, durable history and backup/restore cases are release gates/future-feature tests because the current implementation does not provide those capabilities. Mark blocked/not applicable with a reason until implemented.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2026-10-23T05:29:19Z</dcterms:created>
  <dcterms:modified xsi:type="dcterms:W3CDTF">2026-10-23T05:37:43Z</dcterms:modified>
</cp:coreProperties>
</file>