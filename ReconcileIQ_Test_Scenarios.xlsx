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Summary" sheetId="2" state="visible" r:id="rId2"/>
    <sheet name="Scenario Summary" sheetId="3" state="visible" r:id="rId3"/>
    <sheet name="Execution Guide" sheetId="4" state="visible" r:id="rId4"/>
  </sheets>
  <definedNames>
    <definedName name="_xlnm._FilterDatabase" localSheetId="0" hidden="1">'Test Cases'!$A$1:$K$108</definedName>
    <definedName name="_xlnm.Print_Titles" localSheetId="0">'Test Cases'!$1:$1</definedName>
    <definedName name="_xlnm._FilterDatabase" localSheetId="2" hidden="1">'Scenario Summary'!$A$1:$F$15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color rgb="0026364B"/>
      <sz val="10"/>
    </font>
    <font>
      <name val="Aptos"/>
      <b val="1"/>
      <color rgb="00315FD3"/>
      <sz val="10"/>
    </font>
    <font>
      <name val="Aptos"/>
      <b val="1"/>
      <color rgb="004C6283"/>
      <sz val="10"/>
    </font>
    <font>
      <b val="1"/>
      <color rgb="00FFFFFF"/>
      <sz val="10"/>
    </font>
    <font>
      <name val="Aptos Display"/>
      <b val="1"/>
      <color rgb="00FFFFFF"/>
      <sz val="18"/>
    </font>
    <font>
      <b val="1"/>
      <color rgb="0017263B"/>
      <sz val="10"/>
    </font>
    <font>
      <color rgb="0026364B"/>
      <sz val="10"/>
    </font>
  </fonts>
  <fills count="7">
    <fill>
      <patternFill/>
    </fill>
    <fill>
      <patternFill patternType="gray125"/>
    </fill>
    <fill>
      <patternFill patternType="solid">
        <fgColor rgb="0017263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EEF3FC"/>
      </patternFill>
    </fill>
  </fills>
  <borders count="2">
    <border>
      <left/>
      <right/>
      <top/>
      <bottom/>
      <diagonal/>
    </border>
    <border>
      <bottom style="thin">
        <color rgb="00D8E0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9" fontId="2" fillId="3" borderId="1" applyAlignment="1" pivotButton="0" quotePrefix="0" xfId="0">
      <alignment vertical="center" wrapText="1"/>
    </xf>
    <xf numFmtId="9" fontId="2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0" customWidth="1" min="4" max="4"/>
    <col width="34" customWidth="1" min="5" max="5"/>
    <col width="44" customWidth="1" min="6" max="6"/>
    <col width="48" customWidth="1" min="7" max="7"/>
    <col width="58" customWidth="1" min="8" max="8"/>
    <col width="42" customWidth="1" min="9" max="9"/>
    <col width="16" customWidth="1" min="10" max="10"/>
    <col width="48" customWidth="1" min="11" max="11"/>
  </cols>
  <sheetData>
    <row r="1" ht="34" customHeight="1">
      <c r="A1" s="1" t="inlineStr">
        <is>
          <t>Scenario ID</t>
        </is>
      </c>
      <c r="B1" s="1" t="inlineStr">
        <is>
          <t>Scenario</t>
        </is>
      </c>
      <c r="C1" s="1" t="inlineStr">
        <is>
          <t>Test Case ID</t>
        </is>
      </c>
      <c r="D1" s="1" t="inlineStr">
        <is>
          <t>Priority</t>
        </is>
      </c>
      <c r="E1" s="1" t="inlineStr">
        <is>
          <t>Test Case</t>
        </is>
      </c>
      <c r="F1" s="1" t="inlineStr">
        <is>
          <t>Preconditions / 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Screenshot / Evidence</t>
        </is>
      </c>
    </row>
    <row r="2" ht="63" customHeight="1">
      <c r="A2" s="2" t="inlineStr">
        <is>
          <t>ENV-01</t>
        </is>
      </c>
      <c r="B2" s="3" t="inlineStr">
        <is>
          <t>Environment and application launch</t>
        </is>
      </c>
      <c r="C2" s="4" t="inlineStr">
        <is>
          <t>TC-001</t>
        </is>
      </c>
      <c r="D2" s="3" t="inlineStr">
        <is>
          <t>P1</t>
        </is>
      </c>
      <c r="E2" s="3" t="inlineStr">
        <is>
          <t>Open dashboard</t>
        </is>
      </c>
      <c r="F2" s="3" t="inlineStr">
        <is>
          <t>Frontend dependencies installed.</t>
        </is>
      </c>
      <c r="G2" s="3" t="inlineStr">
        <is>
          <t>Open http://127.0.0.1:5173/reconciliation.</t>
        </is>
      </c>
      <c r="H2" s="3" t="inlineStr">
        <is>
          <t>Dashboard renders without a blank screen or uncaught client error.</t>
        </is>
      </c>
      <c r="I2" s="3" t="inlineStr">
        <is>
          <t>Not executed — record observed result during execution.</t>
        </is>
      </c>
      <c r="J2" s="5" t="inlineStr">
        <is>
          <t>Not Run</t>
        </is>
      </c>
      <c r="K2" s="3" t="inlineStr">
        <is>
          <t>Not captured — attach screenshot path or evidence link after execution.</t>
        </is>
      </c>
    </row>
    <row r="3" ht="63" customHeight="1">
      <c r="A3" s="6" t="inlineStr">
        <is>
          <t>ENV-01</t>
        </is>
      </c>
      <c r="B3" s="7" t="inlineStr">
        <is>
          <t>Environment and application launch</t>
        </is>
      </c>
      <c r="C3" s="8" t="inlineStr">
        <is>
          <t>TC-002</t>
        </is>
      </c>
      <c r="D3" s="7" t="inlineStr">
        <is>
          <t>P1</t>
        </is>
      </c>
      <c r="E3" s="7" t="inlineStr">
        <is>
          <t>Check backend health</t>
        </is>
      </c>
      <c r="F3" s="7" t="inlineStr">
        <is>
          <t>Backend is running.</t>
        </is>
      </c>
      <c r="G3" s="7" t="inlineStr">
        <is>
          <t>GET http://127.0.0.1:8000/.</t>
        </is>
      </c>
      <c r="H3" s="7" t="inlineStr">
        <is>
          <t>HTTP 200 reports healthy API status.</t>
        </is>
      </c>
      <c r="I3" s="7" t="inlineStr">
        <is>
          <t>Not executed — record observed result during execution.</t>
        </is>
      </c>
      <c r="J3" s="5" t="inlineStr">
        <is>
          <t>Not Run</t>
        </is>
      </c>
      <c r="K3" s="7" t="inlineStr">
        <is>
          <t>Not captured — attach screenshot path or evidence link after execution.</t>
        </is>
      </c>
    </row>
    <row r="4" ht="63" customHeight="1">
      <c r="A4" s="2" t="inlineStr">
        <is>
          <t>ENV-01</t>
        </is>
      </c>
      <c r="B4" s="3" t="inlineStr">
        <is>
          <t>Environment and application launch</t>
        </is>
      </c>
      <c r="C4" s="4" t="inlineStr">
        <is>
          <t>TC-003</t>
        </is>
      </c>
      <c r="D4" s="3" t="inlineStr">
        <is>
          <t>P1</t>
        </is>
      </c>
      <c r="E4" s="3" t="inlineStr">
        <is>
          <t>Open API documentation</t>
        </is>
      </c>
      <c r="F4" s="3" t="inlineStr">
        <is>
          <t>Backend is running.</t>
        </is>
      </c>
      <c r="G4" s="3" t="inlineStr">
        <is>
          <t>Open http://127.0.0.1:8000/docs.</t>
        </is>
      </c>
      <c r="H4" s="3" t="inlineStr">
        <is>
          <t>OpenAPI UI loads and lists preview, compare, results and report endpoints.</t>
        </is>
      </c>
      <c r="I4" s="3" t="inlineStr">
        <is>
          <t>Not executed — record observed result during execution.</t>
        </is>
      </c>
      <c r="J4" s="5" t="inlineStr">
        <is>
          <t>Not Run</t>
        </is>
      </c>
      <c r="K4" s="3" t="inlineStr">
        <is>
          <t>Not captured — attach screenshot path or evidence link after execution.</t>
        </is>
      </c>
    </row>
    <row r="5" ht="63" customHeight="1">
      <c r="A5" s="6" t="inlineStr">
        <is>
          <t>ENV-01</t>
        </is>
      </c>
      <c r="B5" s="7" t="inlineStr">
        <is>
          <t>Environment and application launch</t>
        </is>
      </c>
      <c r="C5" s="8" t="inlineStr">
        <is>
          <t>TC-004</t>
        </is>
      </c>
      <c r="D5" s="7" t="inlineStr">
        <is>
          <t>P1</t>
        </is>
      </c>
      <c r="E5" s="7" t="inlineStr">
        <is>
          <t>Refresh deep link</t>
        </is>
      </c>
      <c r="F5" s="7" t="inlineStr">
        <is>
          <t>Frontend is running.</t>
        </is>
      </c>
      <c r="G5" s="7" t="inlineStr">
        <is>
          <t>Open or refresh /reconciliation directly.</t>
        </is>
      </c>
      <c r="H5" s="7" t="inlineStr">
        <is>
          <t>SPA serves the reconciliation page, not a server 404.</t>
        </is>
      </c>
      <c r="I5" s="7" t="inlineStr">
        <is>
          <t>Not executed — record observed result during execution.</t>
        </is>
      </c>
      <c r="J5" s="5" t="inlineStr">
        <is>
          <t>Not Run</t>
        </is>
      </c>
      <c r="K5" s="7" t="inlineStr">
        <is>
          <t>Not captured — attach screenshot path or evidence link after execution.</t>
        </is>
      </c>
    </row>
    <row r="6" ht="63" customHeight="1">
      <c r="A6" s="2" t="inlineStr">
        <is>
          <t>ENV-01</t>
        </is>
      </c>
      <c r="B6" s="3" t="inlineStr">
        <is>
          <t>Environment and application launch</t>
        </is>
      </c>
      <c r="C6" s="4" t="inlineStr">
        <is>
          <t>TC-005</t>
        </is>
      </c>
      <c r="D6" s="3" t="inlineStr">
        <is>
          <t>P2</t>
        </is>
      </c>
      <c r="E6" s="3" t="inlineStr">
        <is>
          <t>Configure API origin</t>
        </is>
      </c>
      <c r="F6" s="3" t="inlineStr">
        <is>
          <t>Set VITE_API_URL to a reachable API origin.</t>
        </is>
      </c>
      <c r="G6" s="3" t="inlineStr">
        <is>
          <t>Restart Vite and upload a file; inspect network requests.</t>
        </is>
      </c>
      <c r="H6" s="3" t="inlineStr">
        <is>
          <t>Requests use configured API origin and succeed without CORS errors.</t>
        </is>
      </c>
      <c r="I6" s="3" t="inlineStr">
        <is>
          <t>Not executed — record observed result during execution.</t>
        </is>
      </c>
      <c r="J6" s="5" t="inlineStr">
        <is>
          <t>Not Run</t>
        </is>
      </c>
      <c r="K6" s="3" t="inlineStr">
        <is>
          <t>Not captured — attach screenshot path or evidence link after execution.</t>
        </is>
      </c>
    </row>
    <row r="7" ht="63" customHeight="1">
      <c r="A7" s="6" t="inlineStr">
        <is>
          <t>UI-01</t>
        </is>
      </c>
      <c r="B7" s="7" t="inlineStr">
        <is>
          <t>Navigation, theme and responsive layout</t>
        </is>
      </c>
      <c r="C7" s="8" t="inlineStr">
        <is>
          <t>TC-006</t>
        </is>
      </c>
      <c r="D7" s="7" t="inlineStr">
        <is>
          <t>P2</t>
        </is>
      </c>
      <c r="E7" s="7" t="inlineStr">
        <is>
          <t>Inspect dashboard shell</t>
        </is>
      </c>
      <c r="F7" s="7" t="inlineStr">
        <is>
          <t>Application open.</t>
        </is>
      </c>
      <c r="G7" s="7" t="inlineStr">
        <is>
          <t>Inspect brand, sidebar, top bar, profile, heading and footer.</t>
        </is>
      </c>
      <c r="H7" s="7" t="inlineStr">
        <is>
          <t>Enterprise dashboard shell is visible and aligned.</t>
        </is>
      </c>
      <c r="I7" s="7" t="inlineStr">
        <is>
          <t>Not executed — record observed result during execution.</t>
        </is>
      </c>
      <c r="J7" s="5" t="inlineStr">
        <is>
          <t>Not Run</t>
        </is>
      </c>
      <c r="K7" s="7" t="inlineStr">
        <is>
          <t>Not captured — attach screenshot path or evidence link after execution.</t>
        </is>
      </c>
    </row>
    <row r="8" ht="63" customHeight="1">
      <c r="A8" s="2" t="inlineStr">
        <is>
          <t>UI-01</t>
        </is>
      </c>
      <c r="B8" s="3" t="inlineStr">
        <is>
          <t>Navigation, theme and responsive layout</t>
        </is>
      </c>
      <c r="C8" s="4" t="inlineStr">
        <is>
          <t>TC-007</t>
        </is>
      </c>
      <c r="D8" s="3" t="inlineStr">
        <is>
          <t>P2</t>
        </is>
      </c>
      <c r="E8" s="3" t="inlineStr">
        <is>
          <t>Navigate sidebar sections</t>
        </is>
      </c>
      <c r="F8" s="3" t="inlineStr">
        <is>
          <t>Application open.</t>
        </is>
      </c>
      <c r="G8" s="3" t="inlineStr">
        <is>
          <t>Select Overview, Reconciliation, Data sources, Reports, Settings and Help.</t>
        </is>
      </c>
      <c r="H8" s="3" t="inlineStr">
        <is>
          <t>Relevant dashboard anchors are reached; navigation causes no error.</t>
        </is>
      </c>
      <c r="I8" s="3" t="inlineStr">
        <is>
          <t>Not executed — record observed result during execution.</t>
        </is>
      </c>
      <c r="J8" s="5" t="inlineStr">
        <is>
          <t>Not Run</t>
        </is>
      </c>
      <c r="K8" s="3" t="inlineStr">
        <is>
          <t>Not captured — attach screenshot path or evidence link after execution.</t>
        </is>
      </c>
    </row>
    <row r="9" ht="63" customHeight="1">
      <c r="A9" s="6" t="inlineStr">
        <is>
          <t>UI-01</t>
        </is>
      </c>
      <c r="B9" s="7" t="inlineStr">
        <is>
          <t>Navigation, theme and responsive layout</t>
        </is>
      </c>
      <c r="C9" s="8" t="inlineStr">
        <is>
          <t>TC-008</t>
        </is>
      </c>
      <c r="D9" s="7" t="inlineStr">
        <is>
          <t>P2</t>
        </is>
      </c>
      <c r="E9" s="7" t="inlineStr">
        <is>
          <t>Switch to dark theme</t>
        </is>
      </c>
      <c r="F9" s="7" t="inlineStr">
        <is>
          <t>Light theme active.</t>
        </is>
      </c>
      <c r="G9" s="7" t="inlineStr">
        <is>
          <t>Activate moon/theme control.</t>
        </is>
      </c>
      <c r="H9" s="7" t="inlineStr">
        <is>
          <t>Dark palette is applied; text and controls remain legible.</t>
        </is>
      </c>
      <c r="I9" s="7" t="inlineStr">
        <is>
          <t>Not executed — record observed result during execution.</t>
        </is>
      </c>
      <c r="J9" s="5" t="inlineStr">
        <is>
          <t>Not Run</t>
        </is>
      </c>
      <c r="K9" s="7" t="inlineStr">
        <is>
          <t>Not captured — attach screenshot path or evidence link after execution.</t>
        </is>
      </c>
    </row>
    <row r="10" ht="63" customHeight="1">
      <c r="A10" s="2" t="inlineStr">
        <is>
          <t>UI-01</t>
        </is>
      </c>
      <c r="B10" s="3" t="inlineStr">
        <is>
          <t>Navigation, theme and responsive layout</t>
        </is>
      </c>
      <c r="C10" s="4" t="inlineStr">
        <is>
          <t>TC-009</t>
        </is>
      </c>
      <c r="D10" s="3" t="inlineStr">
        <is>
          <t>P2</t>
        </is>
      </c>
      <c r="E10" s="3" t="inlineStr">
        <is>
          <t>Switch back to light theme</t>
        </is>
      </c>
      <c r="F10" s="3" t="inlineStr">
        <is>
          <t>Dark theme active.</t>
        </is>
      </c>
      <c r="G10" s="3" t="inlineStr">
        <is>
          <t>Activate sun/theme control.</t>
        </is>
      </c>
      <c r="H10" s="3" t="inlineStr">
        <is>
          <t>Light palette is restored without losing current page state.</t>
        </is>
      </c>
      <c r="I10" s="3" t="inlineStr">
        <is>
          <t>Not executed — record observed result during execution.</t>
        </is>
      </c>
      <c r="J10" s="5" t="inlineStr">
        <is>
          <t>Not Run</t>
        </is>
      </c>
      <c r="K10" s="3" t="inlineStr">
        <is>
          <t>Not captured — attach screenshot path or evidence link after execution.</t>
        </is>
      </c>
    </row>
    <row r="11" ht="63" customHeight="1">
      <c r="A11" s="6" t="inlineStr">
        <is>
          <t>UI-01</t>
        </is>
      </c>
      <c r="B11" s="7" t="inlineStr">
        <is>
          <t>Navigation, theme and responsive layout</t>
        </is>
      </c>
      <c r="C11" s="8" t="inlineStr">
        <is>
          <t>TC-010</t>
        </is>
      </c>
      <c r="D11" s="7" t="inlineStr">
        <is>
          <t>P2</t>
        </is>
      </c>
      <c r="E11" s="7" t="inlineStr">
        <is>
          <t>Check tablet/mobile layout</t>
        </is>
      </c>
      <c r="F11" s="7" t="inlineStr">
        <is>
          <t>Browser viewport can be resized.</t>
        </is>
      </c>
      <c r="G11" s="7" t="inlineStr">
        <is>
          <t>Check 768px and 390px viewport widths; scroll all sections.</t>
        </is>
      </c>
      <c r="H11" s="7" t="inlineStr">
        <is>
          <t>Sidebar adapts; cards and controls remain usable without page-wide overflow.</t>
        </is>
      </c>
      <c r="I11" s="7" t="inlineStr">
        <is>
          <t>Not executed — record observed result during execution.</t>
        </is>
      </c>
      <c r="J11" s="5" t="inlineStr">
        <is>
          <t>Not Run</t>
        </is>
      </c>
      <c r="K11" s="7" t="inlineStr">
        <is>
          <t>Not captured — attach screenshot path or evidence link after execution.</t>
        </is>
      </c>
    </row>
    <row r="12" ht="63" customHeight="1">
      <c r="A12" s="2" t="inlineStr">
        <is>
          <t>UI-01</t>
        </is>
      </c>
      <c r="B12" s="3" t="inlineStr">
        <is>
          <t>Navigation, theme and responsive layout</t>
        </is>
      </c>
      <c r="C12" s="4" t="inlineStr">
        <is>
          <t>TC-011</t>
        </is>
      </c>
      <c r="D12" s="3" t="inlineStr">
        <is>
          <t>P2</t>
        </is>
      </c>
      <c r="E12" s="3" t="inlineStr">
        <is>
          <t>Keyboard navigation</t>
        </is>
      </c>
      <c r="F12" s="3" t="inlineStr">
        <is>
          <t>Dashboard open.</t>
        </is>
      </c>
      <c r="G12" s="3" t="inlineStr">
        <is>
          <t>Use Tab, Shift+Tab, Enter and Space through navigation and controls.</t>
        </is>
      </c>
      <c r="H12" s="3" t="inlineStr">
        <is>
          <t>Controls are reachable and have visible focus; no keyboard trap.</t>
        </is>
      </c>
      <c r="I12" s="3" t="inlineStr">
        <is>
          <t>Not executed — record observed result during execution.</t>
        </is>
      </c>
      <c r="J12" s="5" t="inlineStr">
        <is>
          <t>Not Run</t>
        </is>
      </c>
      <c r="K12" s="3" t="inlineStr">
        <is>
          <t>Not captured — attach screenshot path or evidence link after execution.</t>
        </is>
      </c>
    </row>
    <row r="13" ht="63" customHeight="1">
      <c r="A13" s="6" t="inlineStr">
        <is>
          <t>UPL-01</t>
        </is>
      </c>
      <c r="B13" s="7" t="inlineStr">
        <is>
          <t>Upload and file validation</t>
        </is>
      </c>
      <c r="C13" s="8" t="inlineStr">
        <is>
          <t>TC-012</t>
        </is>
      </c>
      <c r="D13" s="7" t="inlineStr">
        <is>
          <t>P1</t>
        </is>
      </c>
      <c r="E13" s="7" t="inlineStr">
        <is>
          <t>Upload source CSV</t>
        </is>
      </c>
      <c r="F13" s="7" t="inlineStr">
        <is>
          <t>CSV has header and records.</t>
        </is>
      </c>
      <c r="G13" s="7" t="inlineStr">
        <is>
          <t>Drop or browse to a valid CSV.</t>
        </is>
      </c>
      <c r="H13" s="7" t="inlineStr">
        <is>
          <t>File accepted; name, size, browser modified date, record count and preview display.</t>
        </is>
      </c>
      <c r="I13" s="7" t="inlineStr">
        <is>
          <t>Not executed — record observed result during execution.</t>
        </is>
      </c>
      <c r="J13" s="5" t="inlineStr">
        <is>
          <t>Not Run</t>
        </is>
      </c>
      <c r="K13" s="7" t="inlineStr">
        <is>
          <t>Not captured — attach screenshot path or evidence link after execution.</t>
        </is>
      </c>
    </row>
    <row r="14" ht="63" customHeight="1">
      <c r="A14" s="2" t="inlineStr">
        <is>
          <t>UPL-01</t>
        </is>
      </c>
      <c r="B14" s="3" t="inlineStr">
        <is>
          <t>Upload and file validation</t>
        </is>
      </c>
      <c r="C14" s="4" t="inlineStr">
        <is>
          <t>TC-013</t>
        </is>
      </c>
      <c r="D14" s="3" t="inlineStr">
        <is>
          <t>P1</t>
        </is>
      </c>
      <c r="E14" s="3" t="inlineStr">
        <is>
          <t>Upload target XLSX</t>
        </is>
      </c>
      <c r="F14" s="3" t="inlineStr">
        <is>
          <t>Valid XLSX workbook with data sheet.</t>
        </is>
      </c>
      <c r="G14" s="3" t="inlineStr">
        <is>
          <t>Select the XLSX file.</t>
        </is>
      </c>
      <c r="H14" s="3" t="inlineStr">
        <is>
          <t>File accepted; details and parsed preview display.</t>
        </is>
      </c>
      <c r="I14" s="3" t="inlineStr">
        <is>
          <t>Not executed — record observed result during execution.</t>
        </is>
      </c>
      <c r="J14" s="5" t="inlineStr">
        <is>
          <t>Not Run</t>
        </is>
      </c>
      <c r="K14" s="3" t="inlineStr">
        <is>
          <t>Not captured — attach screenshot path or evidence link after execution.</t>
        </is>
      </c>
    </row>
    <row r="15" ht="63" customHeight="1">
      <c r="A15" s="6" t="inlineStr">
        <is>
          <t>UPL-01</t>
        </is>
      </c>
      <c r="B15" s="7" t="inlineStr">
        <is>
          <t>Upload and file validation</t>
        </is>
      </c>
      <c r="C15" s="8" t="inlineStr">
        <is>
          <t>TC-014</t>
        </is>
      </c>
      <c r="D15" s="7" t="inlineStr">
        <is>
          <t>P1</t>
        </is>
      </c>
      <c r="E15" s="7" t="inlineStr">
        <is>
          <t>Upload legacy XLS</t>
        </is>
      </c>
      <c r="F15" s="7" t="inlineStr">
        <is>
          <t>Valid XLS workbook.</t>
        </is>
      </c>
      <c r="G15" s="7" t="inlineStr">
        <is>
          <t>Select the XLS file.</t>
        </is>
      </c>
      <c r="H15" s="7" t="inlineStr">
        <is>
          <t>File accepted and records parse correctly.</t>
        </is>
      </c>
      <c r="I15" s="7" t="inlineStr">
        <is>
          <t>Not executed — record observed result during execution.</t>
        </is>
      </c>
      <c r="J15" s="5" t="inlineStr">
        <is>
          <t>Not Run</t>
        </is>
      </c>
      <c r="K15" s="7" t="inlineStr">
        <is>
          <t>Not captured — attach screenshot path or evidence link after execution.</t>
        </is>
      </c>
    </row>
    <row r="16" ht="63" customHeight="1">
      <c r="A16" s="2" t="inlineStr">
        <is>
          <t>UPL-01</t>
        </is>
      </c>
      <c r="B16" s="3" t="inlineStr">
        <is>
          <t>Upload and file validation</t>
        </is>
      </c>
      <c r="C16" s="4" t="inlineStr">
        <is>
          <t>TC-015</t>
        </is>
      </c>
      <c r="D16" s="3" t="inlineStr">
        <is>
          <t>P1</t>
        </is>
      </c>
      <c r="E16" s="3" t="inlineStr">
        <is>
          <t>Upload delimited TXT</t>
        </is>
      </c>
      <c r="F16" s="3" t="inlineStr">
        <is>
          <t>Tab-delimited TXT with header.</t>
        </is>
      </c>
      <c r="G16" s="3" t="inlineStr">
        <is>
          <t>Select the TXT file.</t>
        </is>
      </c>
      <c r="H16" s="3" t="inlineStr">
        <is>
          <t>File accepted; delimiter, columns and records parse correctly.</t>
        </is>
      </c>
      <c r="I16" s="3" t="inlineStr">
        <is>
          <t>Not executed — record observed result during execution.</t>
        </is>
      </c>
      <c r="J16" s="5" t="inlineStr">
        <is>
          <t>Not Run</t>
        </is>
      </c>
      <c r="K16" s="3" t="inlineStr">
        <is>
          <t>Not captured — attach screenshot path or evidence link after execution.</t>
        </is>
      </c>
    </row>
    <row r="17" ht="63" customHeight="1">
      <c r="A17" s="6" t="inlineStr">
        <is>
          <t>UPL-01</t>
        </is>
      </c>
      <c r="B17" s="7" t="inlineStr">
        <is>
          <t>Upload and file validation</t>
        </is>
      </c>
      <c r="C17" s="8" t="inlineStr">
        <is>
          <t>TC-016</t>
        </is>
      </c>
      <c r="D17" s="7" t="inlineStr">
        <is>
          <t>P1</t>
        </is>
      </c>
      <c r="E17" s="7" t="inlineStr">
        <is>
          <t>Reject unsupported extension</t>
        </is>
      </c>
      <c r="F17" s="7" t="inlineStr">
        <is>
          <t>Prepare PDF/image file.</t>
        </is>
      </c>
      <c r="G17" s="7" t="inlineStr">
        <is>
          <t>Attempt to select/drop it.</t>
        </is>
      </c>
      <c r="H17" s="7" t="inlineStr">
        <is>
          <t>File rejected with clear message; invalid file is not selected.</t>
        </is>
      </c>
      <c r="I17" s="7" t="inlineStr">
        <is>
          <t>Not executed — record observed result during execution.</t>
        </is>
      </c>
      <c r="J17" s="5" t="inlineStr">
        <is>
          <t>Not Run</t>
        </is>
      </c>
      <c r="K17" s="7" t="inlineStr">
        <is>
          <t>Not captured — attach screenshot path or evidence link after execution.</t>
        </is>
      </c>
    </row>
    <row r="18" ht="63" customHeight="1">
      <c r="A18" s="2" t="inlineStr">
        <is>
          <t>UPL-01</t>
        </is>
      </c>
      <c r="B18" s="3" t="inlineStr">
        <is>
          <t>Upload and file validation</t>
        </is>
      </c>
      <c r="C18" s="4" t="inlineStr">
        <is>
          <t>TC-017</t>
        </is>
      </c>
      <c r="D18" s="3" t="inlineStr">
        <is>
          <t>P1</t>
        </is>
      </c>
      <c r="E18" s="3" t="inlineStr">
        <is>
          <t>Reject empty file</t>
        </is>
      </c>
      <c r="F18" s="3" t="inlineStr">
        <is>
          <t>Prepare zero-byte CSV.</t>
        </is>
      </c>
      <c r="G18" s="3" t="inlineStr">
        <is>
          <t>Upload the file.</t>
        </is>
      </c>
      <c r="H18" s="3" t="inlineStr">
        <is>
          <t>Clear empty-file error; no success preview.</t>
        </is>
      </c>
      <c r="I18" s="3" t="inlineStr">
        <is>
          <t>Not executed — record observed result during execution.</t>
        </is>
      </c>
      <c r="J18" s="5" t="inlineStr">
        <is>
          <t>Not Run</t>
        </is>
      </c>
      <c r="K18" s="3" t="inlineStr">
        <is>
          <t>Not captured — attach screenshot path or evidence link after execution.</t>
        </is>
      </c>
    </row>
    <row r="19" ht="63" customHeight="1">
      <c r="A19" s="6" t="inlineStr">
        <is>
          <t>UPL-01</t>
        </is>
      </c>
      <c r="B19" s="7" t="inlineStr">
        <is>
          <t>Upload and file validation</t>
        </is>
      </c>
      <c r="C19" s="8" t="inlineStr">
        <is>
          <t>TC-018</t>
        </is>
      </c>
      <c r="D19" s="7" t="inlineStr">
        <is>
          <t>P1</t>
        </is>
      </c>
      <c r="E19" s="7" t="inlineStr">
        <is>
          <t>Reject malformed contents</t>
        </is>
      </c>
      <c r="F19" s="7" t="inlineStr">
        <is>
          <t>Invalid bytes with supported extension.</t>
        </is>
      </c>
      <c r="G19" s="7" t="inlineStr">
        <is>
          <t>Upload malformed CSV or workbook.</t>
        </is>
      </c>
      <c r="H19" s="7" t="inlineStr">
        <is>
          <t>Controlled parse error; page remains usable.</t>
        </is>
      </c>
      <c r="I19" s="7" t="inlineStr">
        <is>
          <t>Not executed — record observed result during execution.</t>
        </is>
      </c>
      <c r="J19" s="5" t="inlineStr">
        <is>
          <t>Not Run</t>
        </is>
      </c>
      <c r="K19" s="7" t="inlineStr">
        <is>
          <t>Not captured — attach screenshot path or evidence link after execution.</t>
        </is>
      </c>
    </row>
    <row r="20" ht="63" customHeight="1">
      <c r="A20" s="2" t="inlineStr">
        <is>
          <t>UPL-01</t>
        </is>
      </c>
      <c r="B20" s="3" t="inlineStr">
        <is>
          <t>Upload and file validation</t>
        </is>
      </c>
      <c r="C20" s="4" t="inlineStr">
        <is>
          <t>TC-019</t>
        </is>
      </c>
      <c r="D20" s="3" t="inlineStr">
        <is>
          <t>P1</t>
        </is>
      </c>
      <c r="E20" s="3" t="inlineStr">
        <is>
          <t>Enforce 100 MB limit</t>
        </is>
      </c>
      <c r="F20" s="3" t="inlineStr">
        <is>
          <t>Supported file larger than 100 MB.</t>
        </is>
      </c>
      <c r="G20" s="3" t="inlineStr">
        <is>
          <t>POST to /api/preview or upload in UI.</t>
        </is>
      </c>
      <c r="H20" s="3" t="inlineStr">
        <is>
          <t>Request rejected with explicit limit; no preview is returned.</t>
        </is>
      </c>
      <c r="I20" s="3" t="inlineStr">
        <is>
          <t>Not executed — record observed result during execution.</t>
        </is>
      </c>
      <c r="J20" s="5" t="inlineStr">
        <is>
          <t>Not Run</t>
        </is>
      </c>
      <c r="K20" s="3" t="inlineStr">
        <is>
          <t>Not captured — attach screenshot path or evidence link after execution.</t>
        </is>
      </c>
    </row>
    <row r="21" ht="63" customHeight="1">
      <c r="A21" s="6" t="inlineStr">
        <is>
          <t>UPL-01</t>
        </is>
      </c>
      <c r="B21" s="7" t="inlineStr">
        <is>
          <t>Upload and file validation</t>
        </is>
      </c>
      <c r="C21" s="8" t="inlineStr">
        <is>
          <t>TC-020</t>
        </is>
      </c>
      <c r="D21" s="7" t="inlineStr">
        <is>
          <t>P2</t>
        </is>
      </c>
      <c r="E21" s="7" t="inlineStr">
        <is>
          <t>Replace selected file</t>
        </is>
      </c>
      <c r="F21" s="7" t="inlineStr">
        <is>
          <t>One valid file is selected.</t>
        </is>
      </c>
      <c r="G21" s="7" t="inlineStr">
        <is>
          <t>Select a different valid file on same side.</t>
        </is>
      </c>
      <c r="H21" s="7" t="inlineStr">
        <is>
          <t>New details and preview replace old; old comparison results clear.</t>
        </is>
      </c>
      <c r="I21" s="7" t="inlineStr">
        <is>
          <t>Not executed — record observed result during execution.</t>
        </is>
      </c>
      <c r="J21" s="5" t="inlineStr">
        <is>
          <t>Not Run</t>
        </is>
      </c>
      <c r="K21" s="7" t="inlineStr">
        <is>
          <t>Not captured — attach screenshot path or evidence link after execution.</t>
        </is>
      </c>
    </row>
    <row r="22" ht="63" customHeight="1">
      <c r="A22" s="2" t="inlineStr">
        <is>
          <t>UPL-01</t>
        </is>
      </c>
      <c r="B22" s="3" t="inlineStr">
        <is>
          <t>Upload and file validation</t>
        </is>
      </c>
      <c r="C22" s="4" t="inlineStr">
        <is>
          <t>TC-021</t>
        </is>
      </c>
      <c r="D22" s="3" t="inlineStr">
        <is>
          <t>P2</t>
        </is>
      </c>
      <c r="E22" s="3" t="inlineStr">
        <is>
          <t>Remove selected file</t>
        </is>
      </c>
      <c r="F22" s="3" t="inlineStr">
        <is>
          <t>A file is selected.</t>
        </is>
      </c>
      <c r="G22" s="3" t="inlineStr">
        <is>
          <t>Click Remove file.</t>
        </is>
      </c>
      <c r="H22" s="3" t="inlineStr">
        <is>
          <t>File and preview clear; compare disabled until both files are selected.</t>
        </is>
      </c>
      <c r="I22" s="3" t="inlineStr">
        <is>
          <t>Not executed — record observed result during execution.</t>
        </is>
      </c>
      <c r="J22" s="5" t="inlineStr">
        <is>
          <t>Not Run</t>
        </is>
      </c>
      <c r="K22" s="3" t="inlineStr">
        <is>
          <t>Not captured — attach screenshot path or evidence link after execution.</t>
        </is>
      </c>
    </row>
    <row r="23" ht="63" customHeight="1">
      <c r="A23" s="6" t="inlineStr">
        <is>
          <t>UPL-01</t>
        </is>
      </c>
      <c r="B23" s="7" t="inlineStr">
        <is>
          <t>Upload and file validation</t>
        </is>
      </c>
      <c r="C23" s="8" t="inlineStr">
        <is>
          <t>TC-022</t>
        </is>
      </c>
      <c r="D23" s="7" t="inlineStr">
        <is>
          <t>P2</t>
        </is>
      </c>
      <c r="E23" s="7" t="inlineStr">
        <is>
          <t>Long filename layout</t>
        </is>
      </c>
      <c r="F23" s="7" t="inlineStr">
        <is>
          <t>Valid file has a very long name.</t>
        </is>
      </c>
      <c r="G23" s="7" t="inlineStr">
        <is>
          <t>Upload and inspect file card.</t>
        </is>
      </c>
      <c r="H23" s="7" t="inlineStr">
        <is>
          <t>Name truncates safely; layout remains intact and full name is accessible.</t>
        </is>
      </c>
      <c r="I23" s="7" t="inlineStr">
        <is>
          <t>Not executed — record observed result during execution.</t>
        </is>
      </c>
      <c r="J23" s="5" t="inlineStr">
        <is>
          <t>Not Run</t>
        </is>
      </c>
      <c r="K23" s="7" t="inlineStr">
        <is>
          <t>Not captured — attach screenshot path or evidence link after execution.</t>
        </is>
      </c>
    </row>
    <row r="24" ht="63" customHeight="1">
      <c r="A24" s="2" t="inlineStr">
        <is>
          <t>PRE-01</t>
        </is>
      </c>
      <c r="B24" s="3" t="inlineStr">
        <is>
          <t>Data preview and inspection</t>
        </is>
      </c>
      <c r="C24" s="4" t="inlineStr">
        <is>
          <t>TC-023</t>
        </is>
      </c>
      <c r="D24" s="3" t="inlineStr">
        <is>
          <t>P1</t>
        </is>
      </c>
      <c r="E24" s="3" t="inlineStr">
        <is>
          <t>Preview first 10 source rows</t>
        </is>
      </c>
      <c r="F24" s="3" t="inlineStr">
        <is>
          <t>Source contains &gt;10 records.</t>
        </is>
      </c>
      <c r="G24" s="3" t="inlineStr">
        <is>
          <t>Upload source and inspect Source preview.</t>
        </is>
      </c>
      <c r="H24" s="3" t="inlineStr">
        <is>
          <t>First 10 rows shown; full record count reported.</t>
        </is>
      </c>
      <c r="I24" s="3" t="inlineStr">
        <is>
          <t>Not executed — record observed result during execution.</t>
        </is>
      </c>
      <c r="J24" s="5" t="inlineStr">
        <is>
          <t>Not Run</t>
        </is>
      </c>
      <c r="K24" s="3" t="inlineStr">
        <is>
          <t>Not captured — attach screenshot path or evidence link after execution.</t>
        </is>
      </c>
    </row>
    <row r="25" ht="63" customHeight="1">
      <c r="A25" s="6" t="inlineStr">
        <is>
          <t>PRE-01</t>
        </is>
      </c>
      <c r="B25" s="7" t="inlineStr">
        <is>
          <t>Data preview and inspection</t>
        </is>
      </c>
      <c r="C25" s="8" t="inlineStr">
        <is>
          <t>TC-024</t>
        </is>
      </c>
      <c r="D25" s="7" t="inlineStr">
        <is>
          <t>P1</t>
        </is>
      </c>
      <c r="E25" s="7" t="inlineStr">
        <is>
          <t>Preview target independently</t>
        </is>
      </c>
      <c r="F25" s="7" t="inlineStr">
        <is>
          <t>Source and target have different data.</t>
        </is>
      </c>
      <c r="G25" s="7" t="inlineStr">
        <is>
          <t>Inspect Target preview.</t>
        </is>
      </c>
      <c r="H25" s="7" t="inlineStr">
        <is>
          <t>Target columns/rows shown independently of source.</t>
        </is>
      </c>
      <c r="I25" s="7" t="inlineStr">
        <is>
          <t>Not executed — record observed result during execution.</t>
        </is>
      </c>
      <c r="J25" s="5" t="inlineStr">
        <is>
          <t>Not Run</t>
        </is>
      </c>
      <c r="K25" s="7" t="inlineStr">
        <is>
          <t>Not captured — attach screenshot path or evidence link after execution.</t>
        </is>
      </c>
    </row>
    <row r="26" ht="63" customHeight="1">
      <c r="A26" s="2" t="inlineStr">
        <is>
          <t>PRE-01</t>
        </is>
      </c>
      <c r="B26" s="3" t="inlineStr">
        <is>
          <t>Data preview and inspection</t>
        </is>
      </c>
      <c r="C26" s="4" t="inlineStr">
        <is>
          <t>TC-025</t>
        </is>
      </c>
      <c r="D26" s="3" t="inlineStr">
        <is>
          <t>P2</t>
        </is>
      </c>
      <c r="E26" s="3" t="inlineStr">
        <is>
          <t>Paginate preview</t>
        </is>
      </c>
      <c r="F26" s="3" t="inlineStr">
        <is>
          <t>At least six preview rows.</t>
        </is>
      </c>
      <c r="G26" s="3" t="inlineStr">
        <is>
          <t>Use preview table pagination.</t>
        </is>
      </c>
      <c r="H26" s="3" t="inlineStr">
        <is>
          <t>Next preview page shows correct records.</t>
        </is>
      </c>
      <c r="I26" s="3" t="inlineStr">
        <is>
          <t>Not executed — record observed result during execution.</t>
        </is>
      </c>
      <c r="J26" s="5" t="inlineStr">
        <is>
          <t>Not Run</t>
        </is>
      </c>
      <c r="K26" s="3" t="inlineStr">
        <is>
          <t>Not captured — attach screenshot path or evidence link after execution.</t>
        </is>
      </c>
    </row>
    <row r="27" ht="63" customHeight="1">
      <c r="A27" s="6" t="inlineStr">
        <is>
          <t>PRE-01</t>
        </is>
      </c>
      <c r="B27" s="7" t="inlineStr">
        <is>
          <t>Data preview and inspection</t>
        </is>
      </c>
      <c r="C27" s="8" t="inlineStr">
        <is>
          <t>TC-026</t>
        </is>
      </c>
      <c r="D27" s="7" t="inlineStr">
        <is>
          <t>P2</t>
        </is>
      </c>
      <c r="E27" s="7" t="inlineStr">
        <is>
          <t>Search preview rows</t>
        </is>
      </c>
      <c r="F27" s="7" t="inlineStr">
        <is>
          <t>Preview includes known values.</t>
        </is>
      </c>
      <c r="G27" s="7" t="inlineStr">
        <is>
          <t>Search for a present and absent value; clear search.</t>
        </is>
      </c>
      <c r="H27" s="7" t="inlineStr">
        <is>
          <t>Matches display; no-match empty state displays; clear restores data.</t>
        </is>
      </c>
      <c r="I27" s="7" t="inlineStr">
        <is>
          <t>Not executed — record observed result during execution.</t>
        </is>
      </c>
      <c r="J27" s="5" t="inlineStr">
        <is>
          <t>Not Run</t>
        </is>
      </c>
      <c r="K27" s="7" t="inlineStr">
        <is>
          <t>Not captured — attach screenshot path or evidence link after execution.</t>
        </is>
      </c>
    </row>
    <row r="28" ht="63" customHeight="1">
      <c r="A28" s="2" t="inlineStr">
        <is>
          <t>PRE-01</t>
        </is>
      </c>
      <c r="B28" s="3" t="inlineStr">
        <is>
          <t>Data preview and inspection</t>
        </is>
      </c>
      <c r="C28" s="4" t="inlineStr">
        <is>
          <t>TC-027</t>
        </is>
      </c>
      <c r="D28" s="3" t="inlineStr">
        <is>
          <t>P2</t>
        </is>
      </c>
      <c r="E28" s="3" t="inlineStr">
        <is>
          <t>Sort preview column</t>
        </is>
      </c>
      <c r="F28" s="3" t="inlineStr">
        <is>
          <t>Preview has sortable values.</t>
        </is>
      </c>
      <c r="G28" s="3" t="inlineStr">
        <is>
          <t>Click a column header twice.</t>
        </is>
      </c>
      <c r="H28" s="3" t="inlineStr">
        <is>
          <t>Ascending and descending order work.</t>
        </is>
      </c>
      <c r="I28" s="3" t="inlineStr">
        <is>
          <t>Not executed — record observed result during execution.</t>
        </is>
      </c>
      <c r="J28" s="5" t="inlineStr">
        <is>
          <t>Not Run</t>
        </is>
      </c>
      <c r="K28" s="3" t="inlineStr">
        <is>
          <t>Not captured — attach screenshot path or evidence link after execution.</t>
        </is>
      </c>
    </row>
    <row r="29" ht="63" customHeight="1">
      <c r="A29" s="6" t="inlineStr">
        <is>
          <t>PRE-01</t>
        </is>
      </c>
      <c r="B29" s="7" t="inlineStr">
        <is>
          <t>Data preview and inspection</t>
        </is>
      </c>
      <c r="C29" s="8" t="inlineStr">
        <is>
          <t>TC-028</t>
        </is>
      </c>
      <c r="D29" s="7" t="inlineStr">
        <is>
          <t>P2</t>
        </is>
      </c>
      <c r="E29" s="7" t="inlineStr">
        <is>
          <t>Render null/empty values</t>
        </is>
      </c>
      <c r="F29" s="7" t="inlineStr">
        <is>
          <t>Input has blanks/nulls.</t>
        </is>
      </c>
      <c r="G29" s="7" t="inlineStr">
        <is>
          <t>Upload and inspect preview.</t>
        </is>
      </c>
      <c r="H29" s="7" t="inlineStr">
        <is>
          <t>Blank values render safely; no NaN/undefined leakage.</t>
        </is>
      </c>
      <c r="I29" s="7" t="inlineStr">
        <is>
          <t>Not executed — record observed result during execution.</t>
        </is>
      </c>
      <c r="J29" s="5" t="inlineStr">
        <is>
          <t>Not Run</t>
        </is>
      </c>
      <c r="K29" s="7" t="inlineStr">
        <is>
          <t>Not captured — attach screenshot path or evidence link after execution.</t>
        </is>
      </c>
    </row>
    <row r="30" ht="63" customHeight="1">
      <c r="A30" s="2" t="inlineStr">
        <is>
          <t>CFG-01</t>
        </is>
      </c>
      <c r="B30" s="3" t="inlineStr">
        <is>
          <t>Comparison settings and key selection</t>
        </is>
      </c>
      <c r="C30" s="4" t="inlineStr">
        <is>
          <t>TC-029</t>
        </is>
      </c>
      <c r="D30" s="3" t="inlineStr">
        <is>
          <t>P1</t>
        </is>
      </c>
      <c r="E30" s="3" t="inlineStr">
        <is>
          <t>Detect shared columns</t>
        </is>
      </c>
      <c r="F30" s="3" t="inlineStr">
        <is>
          <t>Source and target schemas overlap partially.</t>
        </is>
      </c>
      <c r="G30" s="3" t="inlineStr">
        <is>
          <t>Upload both files.</t>
        </is>
      </c>
      <c r="H30" s="3" t="inlineStr">
        <is>
          <t>Only shared columns appear as key choices.</t>
        </is>
      </c>
      <c r="I30" s="3" t="inlineStr">
        <is>
          <t>Not executed — record observed result during execution.</t>
        </is>
      </c>
      <c r="J30" s="5" t="inlineStr">
        <is>
          <t>Not Run</t>
        </is>
      </c>
      <c r="K30" s="3" t="inlineStr">
        <is>
          <t>Not captured — attach screenshot path or evidence link after execution.</t>
        </is>
      </c>
    </row>
    <row r="31" ht="63" customHeight="1">
      <c r="A31" s="6" t="inlineStr">
        <is>
          <t>CFG-01</t>
        </is>
      </c>
      <c r="B31" s="7" t="inlineStr">
        <is>
          <t>Comparison settings and key selection</t>
        </is>
      </c>
      <c r="C31" s="8" t="inlineStr">
        <is>
          <t>TC-030</t>
        </is>
      </c>
      <c r="D31" s="7" t="inlineStr">
        <is>
          <t>P1</t>
        </is>
      </c>
      <c r="E31" s="7" t="inlineStr">
        <is>
          <t>Default EMPID key</t>
        </is>
      </c>
      <c r="F31" s="7" t="inlineStr">
        <is>
          <t>Both files have EMPID.</t>
        </is>
      </c>
      <c r="G31" s="7" t="inlineStr">
        <is>
          <t>Upload both and inspect selector.</t>
        </is>
      </c>
      <c r="H31" s="7" t="inlineStr">
        <is>
          <t>EMPID is selected by default.</t>
        </is>
      </c>
      <c r="I31" s="7" t="inlineStr">
        <is>
          <t>Not executed — record observed result during execution.</t>
        </is>
      </c>
      <c r="J31" s="5" t="inlineStr">
        <is>
          <t>Not Run</t>
        </is>
      </c>
      <c r="K31" s="7" t="inlineStr">
        <is>
          <t>Not captured — attach screenshot path or evidence link after execution.</t>
        </is>
      </c>
    </row>
    <row r="32" ht="63" customHeight="1">
      <c r="A32" s="2" t="inlineStr">
        <is>
          <t>CFG-01</t>
        </is>
      </c>
      <c r="B32" s="3" t="inlineStr">
        <is>
          <t>Comparison settings and key selection</t>
        </is>
      </c>
      <c r="C32" s="4" t="inlineStr">
        <is>
          <t>TC-031</t>
        </is>
      </c>
      <c r="D32" s="3" t="inlineStr">
        <is>
          <t>P1</t>
        </is>
      </c>
      <c r="E32" s="3" t="inlineStr">
        <is>
          <t>Select alternate key</t>
        </is>
      </c>
      <c r="F32" s="3" t="inlineStr">
        <is>
          <t>Both files share another unique key.</t>
        </is>
      </c>
      <c r="G32" s="3" t="inlineStr">
        <is>
          <t>Select it and compare.</t>
        </is>
      </c>
      <c r="H32" s="3" t="inlineStr">
        <is>
          <t>Selected key is used and reported in metadata.</t>
        </is>
      </c>
      <c r="I32" s="3" t="inlineStr">
        <is>
          <t>Not executed — record observed result during execution.</t>
        </is>
      </c>
      <c r="J32" s="5" t="inlineStr">
        <is>
          <t>Not Run</t>
        </is>
      </c>
      <c r="K32" s="3" t="inlineStr">
        <is>
          <t>Not captured — attach screenshot path or evidence link after execution.</t>
        </is>
      </c>
    </row>
    <row r="33" ht="63" customHeight="1">
      <c r="A33" s="6" t="inlineStr">
        <is>
          <t>CFG-01</t>
        </is>
      </c>
      <c r="B33" s="7" t="inlineStr">
        <is>
          <t>Comparison settings and key selection</t>
        </is>
      </c>
      <c r="C33" s="8" t="inlineStr">
        <is>
          <t>TC-032</t>
        </is>
      </c>
      <c r="D33" s="7" t="inlineStr">
        <is>
          <t>P1</t>
        </is>
      </c>
      <c r="E33" s="7" t="inlineStr">
        <is>
          <t>Select composite key</t>
        </is>
      </c>
      <c r="F33" s="7" t="inlineStr">
        <is>
          <t>Two columns jointly form a unique key.</t>
        </is>
      </c>
      <c r="G33" s="7" t="inlineStr">
        <is>
          <t>Select both columns and compare.</t>
        </is>
      </c>
      <c r="H33" s="7" t="inlineStr">
        <is>
          <t>Composite key determines matching; both fields appear in metadata.</t>
        </is>
      </c>
      <c r="I33" s="7" t="inlineStr">
        <is>
          <t>Not executed — record observed result during execution.</t>
        </is>
      </c>
      <c r="J33" s="5" t="inlineStr">
        <is>
          <t>Not Run</t>
        </is>
      </c>
      <c r="K33" s="7" t="inlineStr">
        <is>
          <t>Not captured — attach screenshot path or evidence link after execution.</t>
        </is>
      </c>
    </row>
    <row r="34" ht="63" customHeight="1">
      <c r="A34" s="2" t="inlineStr">
        <is>
          <t>CFG-01</t>
        </is>
      </c>
      <c r="B34" s="3" t="inlineStr">
        <is>
          <t>Comparison settings and key selection</t>
        </is>
      </c>
      <c r="C34" s="4" t="inlineStr">
        <is>
          <t>TC-033</t>
        </is>
      </c>
      <c r="D34" s="3" t="inlineStr">
        <is>
          <t>P1</t>
        </is>
      </c>
      <c r="E34" s="3" t="inlineStr">
        <is>
          <t>Clear all keys</t>
        </is>
      </c>
      <c r="F34" s="3" t="inlineStr">
        <is>
          <t>Both files loaded.</t>
        </is>
      </c>
      <c r="G34" s="3" t="inlineStr">
        <is>
          <t>Clear all key values and try compare.</t>
        </is>
      </c>
      <c r="H34" s="3" t="inlineStr">
        <is>
          <t>Comparison is prevented and a choose-key warning appears.</t>
        </is>
      </c>
      <c r="I34" s="3" t="inlineStr">
        <is>
          <t>Not executed — record observed result during execution.</t>
        </is>
      </c>
      <c r="J34" s="5" t="inlineStr">
        <is>
          <t>Not Run</t>
        </is>
      </c>
      <c r="K34" s="3" t="inlineStr">
        <is>
          <t>Not captured — attach screenshot path or evidence link after execution.</t>
        </is>
      </c>
    </row>
    <row r="35" ht="63" customHeight="1">
      <c r="A35" s="6" t="inlineStr">
        <is>
          <t>CFG-01</t>
        </is>
      </c>
      <c r="B35" s="7" t="inlineStr">
        <is>
          <t>Comparison settings and key selection</t>
        </is>
      </c>
      <c r="C35" s="8" t="inlineStr">
        <is>
          <t>TC-034</t>
        </is>
      </c>
      <c r="D35" s="7" t="inlineStr">
        <is>
          <t>P1</t>
        </is>
      </c>
      <c r="E35" s="7" t="inlineStr">
        <is>
          <t>Reject key absent in one file</t>
        </is>
      </c>
      <c r="F35" s="7" t="inlineStr">
        <is>
          <t>API request specifies a key absent in target.</t>
        </is>
      </c>
      <c r="G35" s="7" t="inlineStr">
        <is>
          <t>POST /api/compare.</t>
        </is>
      </c>
      <c r="H35" s="7" t="inlineStr">
        <is>
          <t>HTTP 400 identifies missing key on target.</t>
        </is>
      </c>
      <c r="I35" s="7" t="inlineStr">
        <is>
          <t>Not executed — record observed result during execution.</t>
        </is>
      </c>
      <c r="J35" s="5" t="inlineStr">
        <is>
          <t>Not Run</t>
        </is>
      </c>
      <c r="K35" s="7" t="inlineStr">
        <is>
          <t>Not captured — attach screenshot path or evidence link after execution.</t>
        </is>
      </c>
    </row>
    <row r="36" ht="63" customHeight="1">
      <c r="A36" s="2" t="inlineStr">
        <is>
          <t>CFG-01</t>
        </is>
      </c>
      <c r="B36" s="3" t="inlineStr">
        <is>
          <t>Comparison settings and key selection</t>
        </is>
      </c>
      <c r="C36" s="4" t="inlineStr">
        <is>
          <t>TC-035</t>
        </is>
      </c>
      <c r="D36" s="3" t="inlineStr">
        <is>
          <t>P1</t>
        </is>
      </c>
      <c r="E36" s="3" t="inlineStr">
        <is>
          <t>Ignore case setting</t>
        </is>
      </c>
      <c r="F36" s="3" t="inlineStr">
        <is>
          <t>Values differ only by case.</t>
        </is>
      </c>
      <c r="G36" s="3" t="inlineStr">
        <is>
          <t>Compare with Ignore case off and on.</t>
        </is>
      </c>
      <c r="H36" s="3" t="inlineStr">
        <is>
          <t>Off reports difference; on treats values equal.</t>
        </is>
      </c>
      <c r="I36" s="3" t="inlineStr">
        <is>
          <t>Not executed — record observed result during execution.</t>
        </is>
      </c>
      <c r="J36" s="5" t="inlineStr">
        <is>
          <t>Not Run</t>
        </is>
      </c>
      <c r="K36" s="3" t="inlineStr">
        <is>
          <t>Not captured — attach screenshot path or evidence link after execution.</t>
        </is>
      </c>
    </row>
    <row r="37" ht="63" customHeight="1">
      <c r="A37" s="6" t="inlineStr">
        <is>
          <t>CFG-01</t>
        </is>
      </c>
      <c r="B37" s="7" t="inlineStr">
        <is>
          <t>Comparison settings and key selection</t>
        </is>
      </c>
      <c r="C37" s="8" t="inlineStr">
        <is>
          <t>TC-036</t>
        </is>
      </c>
      <c r="D37" s="7" t="inlineStr">
        <is>
          <t>P1</t>
        </is>
      </c>
      <c r="E37" s="7" t="inlineStr">
        <is>
          <t>Ignore whitespace setting</t>
        </is>
      </c>
      <c r="F37" s="7" t="inlineStr">
        <is>
          <t>Values differ by whitespace.</t>
        </is>
      </c>
      <c r="G37" s="7" t="inlineStr">
        <is>
          <t>Compare with setting on and off.</t>
        </is>
      </c>
      <c r="H37" s="7" t="inlineStr">
        <is>
          <t>On removes whitespace differences; off preserves them.</t>
        </is>
      </c>
      <c r="I37" s="7" t="inlineStr">
        <is>
          <t>Not executed — record observed result during execution.</t>
        </is>
      </c>
      <c r="J37" s="5" t="inlineStr">
        <is>
          <t>Not Run</t>
        </is>
      </c>
      <c r="K37" s="7" t="inlineStr">
        <is>
          <t>Not captured — attach screenshot path or evidence link after execution.</t>
        </is>
      </c>
    </row>
    <row r="38" ht="63" customHeight="1">
      <c r="A38" s="2" t="inlineStr">
        <is>
          <t>CFG-01</t>
        </is>
      </c>
      <c r="B38" s="3" t="inlineStr">
        <is>
          <t>Comparison settings and key selection</t>
        </is>
      </c>
      <c r="C38" s="4" t="inlineStr">
        <is>
          <t>TC-037</t>
        </is>
      </c>
      <c r="D38" s="3" t="inlineStr">
        <is>
          <t>P1</t>
        </is>
      </c>
      <c r="E38" s="3" t="inlineStr">
        <is>
          <t>Ignore null differences setting</t>
        </is>
      </c>
      <c r="F38" s="3" t="inlineStr">
        <is>
          <t>One value null/blank and other populated.</t>
        </is>
      </c>
      <c r="G38" s="3" t="inlineStr">
        <is>
          <t>Compare with option off then on.</t>
        </is>
      </c>
      <c r="H38" s="3" t="inlineStr">
        <is>
          <t>Off reports mismatch; on suppresses it.</t>
        </is>
      </c>
      <c r="I38" s="3" t="inlineStr">
        <is>
          <t>Not executed — record observed result during execution.</t>
        </is>
      </c>
      <c r="J38" s="5" t="inlineStr">
        <is>
          <t>Not Run</t>
        </is>
      </c>
      <c r="K38" s="3" t="inlineStr">
        <is>
          <t>Not captured — attach screenshot path or evidence link after execution.</t>
        </is>
      </c>
    </row>
    <row r="39" ht="63" customHeight="1">
      <c r="A39" s="6" t="inlineStr">
        <is>
          <t>CMP-01</t>
        </is>
      </c>
      <c r="B39" s="7" t="inlineStr">
        <is>
          <t>Reconciliation correctness and summary</t>
        </is>
      </c>
      <c r="C39" s="8" t="inlineStr">
        <is>
          <t>TC-038</t>
        </is>
      </c>
      <c r="D39" s="7" t="inlineStr">
        <is>
          <t>P1</t>
        </is>
      </c>
      <c r="E39" s="7" t="inlineStr">
        <is>
          <t>Compare identical datasets</t>
        </is>
      </c>
      <c r="F39" s="7" t="inlineStr">
        <is>
          <t>Source and target identical with unique keys.</t>
        </is>
      </c>
      <c r="G39" s="7" t="inlineStr">
        <is>
          <t>Upload and compare.</t>
        </is>
      </c>
      <c r="H39" s="7" t="inlineStr">
        <is>
          <t>All records match; zero exceptions; success rate 100%; empty result state.</t>
        </is>
      </c>
      <c r="I39" s="7" t="inlineStr">
        <is>
          <t>Not executed — record observed result during execution.</t>
        </is>
      </c>
      <c r="J39" s="5" t="inlineStr">
        <is>
          <t>Not Run</t>
        </is>
      </c>
      <c r="K39" s="7" t="inlineStr">
        <is>
          <t>Not captured — attach screenshot path or evidence link after execution.</t>
        </is>
      </c>
    </row>
    <row r="40" ht="63" customHeight="1">
      <c r="A40" s="2" t="inlineStr">
        <is>
          <t>CMP-01</t>
        </is>
      </c>
      <c r="B40" s="3" t="inlineStr">
        <is>
          <t>Reconciliation correctness and summary</t>
        </is>
      </c>
      <c r="C40" s="4" t="inlineStr">
        <is>
          <t>TC-039</t>
        </is>
      </c>
      <c r="D40" s="3" t="inlineStr">
        <is>
          <t>P1</t>
        </is>
      </c>
      <c r="E40" s="3" t="inlineStr">
        <is>
          <t>Detect one changed cell</t>
        </is>
      </c>
      <c r="F40" s="3" t="inlineStr">
        <is>
          <t>One shared key has one changed non-key value.</t>
        </is>
      </c>
      <c r="G40" s="3" t="inlineStr">
        <is>
          <t>Compare the files.</t>
        </is>
      </c>
      <c r="H40" s="3" t="inlineStr">
        <is>
          <t>Mismatch row has key, column, source/target values and Value changed type.</t>
        </is>
      </c>
      <c r="I40" s="3" t="inlineStr">
        <is>
          <t>Not executed — record observed result during execution.</t>
        </is>
      </c>
      <c r="J40" s="5" t="inlineStr">
        <is>
          <t>Not Run</t>
        </is>
      </c>
      <c r="K40" s="3" t="inlineStr">
        <is>
          <t>Not captured — attach screenshot path or evidence link after execution.</t>
        </is>
      </c>
    </row>
    <row r="41" ht="63" customHeight="1">
      <c r="A41" s="6" t="inlineStr">
        <is>
          <t>CMP-01</t>
        </is>
      </c>
      <c r="B41" s="7" t="inlineStr">
        <is>
          <t>Reconciliation correctness and summary</t>
        </is>
      </c>
      <c r="C41" s="8" t="inlineStr">
        <is>
          <t>TC-040</t>
        </is>
      </c>
      <c r="D41" s="7" t="inlineStr">
        <is>
          <t>P1</t>
        </is>
      </c>
      <c r="E41" s="7" t="inlineStr">
        <is>
          <t>Multiple changed columns on one record</t>
        </is>
      </c>
      <c r="F41" s="7" t="inlineStr">
        <is>
          <t>One shared record has two changed columns.</t>
        </is>
      </c>
      <c r="G41" s="7" t="inlineStr">
        <is>
          <t>Compare the files.</t>
        </is>
      </c>
      <c r="H41" s="7" t="inlineStr">
        <is>
          <t>Two difference rows; mismatched-record KPI counts that key once.</t>
        </is>
      </c>
      <c r="I41" s="7" t="inlineStr">
        <is>
          <t>Not executed — record observed result during execution.</t>
        </is>
      </c>
      <c r="J41" s="5" t="inlineStr">
        <is>
          <t>Not Run</t>
        </is>
      </c>
      <c r="K41" s="7" t="inlineStr">
        <is>
          <t>Not captured — attach screenshot path or evidence link after execution.</t>
        </is>
      </c>
    </row>
    <row r="42" ht="63" customHeight="1">
      <c r="A42" s="2" t="inlineStr">
        <is>
          <t>CMP-01</t>
        </is>
      </c>
      <c r="B42" s="3" t="inlineStr">
        <is>
          <t>Reconciliation correctness and summary</t>
        </is>
      </c>
      <c r="C42" s="4" t="inlineStr">
        <is>
          <t>TC-041</t>
        </is>
      </c>
      <c r="D42" s="3" t="inlineStr">
        <is>
          <t>P1</t>
        </is>
      </c>
      <c r="E42" s="3" t="inlineStr">
        <is>
          <t>Record missing from target</t>
        </is>
      </c>
      <c r="F42" s="3" t="inlineStr">
        <is>
          <t>Source contains a key absent from target.</t>
        </is>
      </c>
      <c r="G42" s="3" t="inlineStr">
        <is>
          <t>Compare files.</t>
        </is>
      </c>
      <c r="H42" s="3" t="inlineStr">
        <is>
          <t>Missing in Target exception; missing-in-target KPI increments.</t>
        </is>
      </c>
      <c r="I42" s="3" t="inlineStr">
        <is>
          <t>Not executed — record observed result during execution.</t>
        </is>
      </c>
      <c r="J42" s="5" t="inlineStr">
        <is>
          <t>Not Run</t>
        </is>
      </c>
      <c r="K42" s="3" t="inlineStr">
        <is>
          <t>Not captured — attach screenshot path or evidence link after execution.</t>
        </is>
      </c>
    </row>
    <row r="43" ht="63" customHeight="1">
      <c r="A43" s="6" t="inlineStr">
        <is>
          <t>CMP-01</t>
        </is>
      </c>
      <c r="B43" s="7" t="inlineStr">
        <is>
          <t>Reconciliation correctness and summary</t>
        </is>
      </c>
      <c r="C43" s="8" t="inlineStr">
        <is>
          <t>TC-042</t>
        </is>
      </c>
      <c r="D43" s="7" t="inlineStr">
        <is>
          <t>P1</t>
        </is>
      </c>
      <c r="E43" s="7" t="inlineStr">
        <is>
          <t>Record missing from source</t>
        </is>
      </c>
      <c r="F43" s="7" t="inlineStr">
        <is>
          <t>Target contains a key absent from source.</t>
        </is>
      </c>
      <c r="G43" s="7" t="inlineStr">
        <is>
          <t>Compare files.</t>
        </is>
      </c>
      <c r="H43" s="7" t="inlineStr">
        <is>
          <t>Missing in Source exception; missing-in-source KPI increments.</t>
        </is>
      </c>
      <c r="I43" s="7" t="inlineStr">
        <is>
          <t>Not executed — record observed result during execution.</t>
        </is>
      </c>
      <c r="J43" s="5" t="inlineStr">
        <is>
          <t>Not Run</t>
        </is>
      </c>
      <c r="K43" s="7" t="inlineStr">
        <is>
          <t>Not captured — attach screenshot path or evidence link after execution.</t>
        </is>
      </c>
    </row>
    <row r="44" ht="63" customHeight="1">
      <c r="A44" s="2" t="inlineStr">
        <is>
          <t>CMP-01</t>
        </is>
      </c>
      <c r="B44" s="3" t="inlineStr">
        <is>
          <t>Reconciliation correctness and summary</t>
        </is>
      </c>
      <c r="C44" s="4" t="inlineStr">
        <is>
          <t>TC-043</t>
        </is>
      </c>
      <c r="D44" s="3" t="inlineStr">
        <is>
          <t>P1</t>
        </is>
      </c>
      <c r="E44" s="3" t="inlineStr">
        <is>
          <t>Verify summary arithmetic</t>
        </is>
      </c>
      <c r="F44" s="3" t="inlineStr">
        <is>
          <t>Source keys 1,2,3; target keys 1,2,4; key 2 differs and key 1 matches.</t>
        </is>
      </c>
      <c r="G44" s="3" t="inlineStr">
        <is>
          <t>Compare files.</t>
        </is>
      </c>
      <c r="H44" s="3" t="inlineStr">
        <is>
          <t>Total=4, matched=1, mismatched=1, missing_source=1, missing_target=1, success=25%.</t>
        </is>
      </c>
      <c r="I44" s="3" t="inlineStr">
        <is>
          <t>Not executed — record observed result during execution.</t>
        </is>
      </c>
      <c r="J44" s="5" t="inlineStr">
        <is>
          <t>Not Run</t>
        </is>
      </c>
      <c r="K44" s="3" t="inlineStr">
        <is>
          <t>Not captured — attach screenshot path or evidence link after execution.</t>
        </is>
      </c>
    </row>
    <row r="45" ht="63" customHeight="1">
      <c r="A45" s="6" t="inlineStr">
        <is>
          <t>CMP-01</t>
        </is>
      </c>
      <c r="B45" s="7" t="inlineStr">
        <is>
          <t>Reconciliation correctness and summary</t>
        </is>
      </c>
      <c r="C45" s="8" t="inlineStr">
        <is>
          <t>TC-044</t>
        </is>
      </c>
      <c r="D45" s="7" t="inlineStr">
        <is>
          <t>P1</t>
        </is>
      </c>
      <c r="E45" s="7" t="inlineStr">
        <is>
          <t>Empty datasets with headers</t>
        </is>
      </c>
      <c r="F45" s="7" t="inlineStr">
        <is>
          <t>Both files have headers and zero rows.</t>
        </is>
      </c>
      <c r="G45" s="7" t="inlineStr">
        <is>
          <t>Compare with a valid shared key.</t>
        </is>
      </c>
      <c r="H45" s="7" t="inlineStr">
        <is>
          <t>Zero total and differences; defined success rate; no server error.</t>
        </is>
      </c>
      <c r="I45" s="7" t="inlineStr">
        <is>
          <t>Not executed — record observed result during execution.</t>
        </is>
      </c>
      <c r="J45" s="5" t="inlineStr">
        <is>
          <t>Not Run</t>
        </is>
      </c>
      <c r="K45" s="7" t="inlineStr">
        <is>
          <t>Not captured — attach screenshot path or evidence link after execution.</t>
        </is>
      </c>
    </row>
    <row r="46" ht="63" customHeight="1">
      <c r="A46" s="2" t="inlineStr">
        <is>
          <t>CMP-01</t>
        </is>
      </c>
      <c r="B46" s="3" t="inlineStr">
        <is>
          <t>Reconciliation correctness and summary</t>
        </is>
      </c>
      <c r="C46" s="4" t="inlineStr">
        <is>
          <t>TC-045</t>
        </is>
      </c>
      <c r="D46" s="3" t="inlineStr">
        <is>
          <t>P1</t>
        </is>
      </c>
      <c r="E46" s="3" t="inlineStr">
        <is>
          <t>Reject duplicate source keys</t>
        </is>
      </c>
      <c r="F46" s="3" t="inlineStr">
        <is>
          <t>Source repeats a selected key.</t>
        </is>
      </c>
      <c r="G46" s="3" t="inlineStr">
        <is>
          <t>Run comparison.</t>
        </is>
      </c>
      <c r="H46" s="3" t="inlineStr">
        <is>
          <t>Clear duplicate-key validation; no summary is presented.</t>
        </is>
      </c>
      <c r="I46" s="3" t="inlineStr">
        <is>
          <t>Not executed — record observed result during execution.</t>
        </is>
      </c>
      <c r="J46" s="5" t="inlineStr">
        <is>
          <t>Not Run</t>
        </is>
      </c>
      <c r="K46" s="3" t="inlineStr">
        <is>
          <t>Not captured — attach screenshot path or evidence link after execution.</t>
        </is>
      </c>
    </row>
    <row r="47" ht="63" customHeight="1">
      <c r="A47" s="6" t="inlineStr">
        <is>
          <t>CMP-01</t>
        </is>
      </c>
      <c r="B47" s="7" t="inlineStr">
        <is>
          <t>Reconciliation correctness and summary</t>
        </is>
      </c>
      <c r="C47" s="8" t="inlineStr">
        <is>
          <t>TC-046</t>
        </is>
      </c>
      <c r="D47" s="7" t="inlineStr">
        <is>
          <t>P1</t>
        </is>
      </c>
      <c r="E47" s="7" t="inlineStr">
        <is>
          <t>Reject duplicate target keys</t>
        </is>
      </c>
      <c r="F47" s="7" t="inlineStr">
        <is>
          <t>Target repeats a selected key.</t>
        </is>
      </c>
      <c r="G47" s="7" t="inlineStr">
        <is>
          <t>Run comparison.</t>
        </is>
      </c>
      <c r="H47" s="7" t="inlineStr">
        <is>
          <t>Clear duplicate-key validation.</t>
        </is>
      </c>
      <c r="I47" s="7" t="inlineStr">
        <is>
          <t>Not executed — record observed result during execution.</t>
        </is>
      </c>
      <c r="J47" s="5" t="inlineStr">
        <is>
          <t>Not Run</t>
        </is>
      </c>
      <c r="K47" s="7" t="inlineStr">
        <is>
          <t>Not captured — attach screenshot path or evidence link after execution.</t>
        </is>
      </c>
    </row>
    <row r="48" ht="63" customHeight="1">
      <c r="A48" s="2" t="inlineStr">
        <is>
          <t>CMP-01</t>
        </is>
      </c>
      <c r="B48" s="3" t="inlineStr">
        <is>
          <t>Reconciliation correctness and summary</t>
        </is>
      </c>
      <c r="C48" s="4" t="inlineStr">
        <is>
          <t>TC-047</t>
        </is>
      </c>
      <c r="D48" s="3" t="inlineStr">
        <is>
          <t>P1</t>
        </is>
      </c>
      <c r="E48" s="3" t="inlineStr">
        <is>
          <t>Reject blank/null key</t>
        </is>
      </c>
      <c r="F48" s="3" t="inlineStr">
        <is>
          <t>At least one selected key is blank/null.</t>
        </is>
      </c>
      <c r="G48" s="3" t="inlineStr">
        <is>
          <t>Run comparison.</t>
        </is>
      </c>
      <c r="H48" s="3" t="inlineStr">
        <is>
          <t>Clear empty-key validation.</t>
        </is>
      </c>
      <c r="I48" s="3" t="inlineStr">
        <is>
          <t>Not executed — record observed result during execution.</t>
        </is>
      </c>
      <c r="J48" s="5" t="inlineStr">
        <is>
          <t>Not Run</t>
        </is>
      </c>
      <c r="K48" s="3" t="inlineStr">
        <is>
          <t>Not captured — attach screenshot path or evidence link after execution.</t>
        </is>
      </c>
    </row>
    <row r="49" ht="63" customHeight="1">
      <c r="A49" s="6" t="inlineStr">
        <is>
          <t>CMP-01</t>
        </is>
      </c>
      <c r="B49" s="7" t="inlineStr">
        <is>
          <t>Reconciliation correctness and summary</t>
        </is>
      </c>
      <c r="C49" s="8" t="inlineStr">
        <is>
          <t>TC-048</t>
        </is>
      </c>
      <c r="D49" s="7" t="inlineStr">
        <is>
          <t>P2</t>
        </is>
      </c>
      <c r="E49" s="7" t="inlineStr">
        <is>
          <t>Normalize numeric key types</t>
        </is>
      </c>
      <c r="F49" s="7" t="inlineStr">
        <is>
          <t>Same logical key parsed as 1 and 1.0.</t>
        </is>
      </c>
      <c r="G49" s="7" t="inlineStr">
        <is>
          <t>Compare files.</t>
        </is>
      </c>
      <c r="H49" s="7" t="inlineStr">
        <is>
          <t>Equivalent numeric key is matched.</t>
        </is>
      </c>
      <c r="I49" s="7" t="inlineStr">
        <is>
          <t>Not executed — record observed result during execution.</t>
        </is>
      </c>
      <c r="J49" s="5" t="inlineStr">
        <is>
          <t>Not Run</t>
        </is>
      </c>
      <c r="K49" s="7" t="inlineStr">
        <is>
          <t>Not captured — attach screenshot path or evidence link after execution.</t>
        </is>
      </c>
    </row>
    <row r="50" ht="63" customHeight="1">
      <c r="A50" s="2" t="inlineStr">
        <is>
          <t>CMP-01</t>
        </is>
      </c>
      <c r="B50" s="3" t="inlineStr">
        <is>
          <t>Reconciliation correctness and summary</t>
        </is>
      </c>
      <c r="C50" s="4" t="inlineStr">
        <is>
          <t>TC-049</t>
        </is>
      </c>
      <c r="D50" s="3" t="inlineStr">
        <is>
          <t>P2</t>
        </is>
      </c>
      <c r="E50" s="3" t="inlineStr">
        <is>
          <t>Handle asymmetric columns</t>
        </is>
      </c>
      <c r="F50" s="3" t="inlineStr">
        <is>
          <t>One input contains an extra non-key column.</t>
        </is>
      </c>
      <c r="G50" s="3" t="inlineStr">
        <is>
          <t>Compare files.</t>
        </is>
      </c>
      <c r="H50" s="3" t="inlineStr">
        <is>
          <t>Extra field is reported as Column missing for shared records.</t>
        </is>
      </c>
      <c r="I50" s="3" t="inlineStr">
        <is>
          <t>Not executed — record observed result during execution.</t>
        </is>
      </c>
      <c r="J50" s="5" t="inlineStr">
        <is>
          <t>Not Run</t>
        </is>
      </c>
      <c r="K50" s="3" t="inlineStr">
        <is>
          <t>Not captured — attach screenshot path or evidence link after execution.</t>
        </is>
      </c>
    </row>
    <row r="51" ht="63" customHeight="1">
      <c r="A51" s="6" t="inlineStr">
        <is>
          <t>CMP-01</t>
        </is>
      </c>
      <c r="B51" s="7" t="inlineStr">
        <is>
          <t>Reconciliation correctness and summary</t>
        </is>
      </c>
      <c r="C51" s="8" t="inlineStr">
        <is>
          <t>TC-050</t>
        </is>
      </c>
      <c r="D51" s="7" t="inlineStr">
        <is>
          <t>P2</t>
        </is>
      </c>
      <c r="E51" s="7" t="inlineStr">
        <is>
          <t>Check numeric formatting behavior</t>
        </is>
      </c>
      <c r="F51" s="7" t="inlineStr">
        <is>
          <t>Same business amount appears as 1 and 1.00.</t>
        </is>
      </c>
      <c r="G51" s="7" t="inlineStr">
        <is>
          <t>Compare and inspect raw values.</t>
        </is>
      </c>
      <c r="H51" s="7" t="inlineStr">
        <is>
          <t>Behavior matches documented normalization; any difference is explained with raw values.</t>
        </is>
      </c>
      <c r="I51" s="7" t="inlineStr">
        <is>
          <t>Not executed — record observed result during execution.</t>
        </is>
      </c>
      <c r="J51" s="5" t="inlineStr">
        <is>
          <t>Not Run</t>
        </is>
      </c>
      <c r="K51" s="7" t="inlineStr">
        <is>
          <t>Not captured — attach screenshot path or evidence link after execution.</t>
        </is>
      </c>
    </row>
    <row r="52" ht="63" customHeight="1">
      <c r="A52" s="2" t="inlineStr">
        <is>
          <t>FIL-01</t>
        </is>
      </c>
      <c r="B52" s="3" t="inlineStr">
        <is>
          <t>Results table filtering and selection</t>
        </is>
      </c>
      <c r="C52" s="4" t="inlineStr">
        <is>
          <t>TC-051</t>
        </is>
      </c>
      <c r="D52" s="3" t="inlineStr">
        <is>
          <t>P1</t>
        </is>
      </c>
      <c r="E52" s="3" t="inlineStr">
        <is>
          <t>Check required result columns</t>
        </is>
      </c>
      <c r="F52" s="3" t="inlineStr">
        <is>
          <t>Comparison has exceptions.</t>
        </is>
      </c>
      <c r="G52" s="3" t="inlineStr">
        <is>
          <t>Inspect Difference detail table.</t>
        </is>
      </c>
      <c r="H52" s="3" t="inlineStr">
        <is>
          <t>Primary key, Column, Source value, Target value, Status and Difference type appear.</t>
        </is>
      </c>
      <c r="I52" s="3" t="inlineStr">
        <is>
          <t>Not executed — record observed result during execution.</t>
        </is>
      </c>
      <c r="J52" s="5" t="inlineStr">
        <is>
          <t>Not Run</t>
        </is>
      </c>
      <c r="K52" s="3" t="inlineStr">
        <is>
          <t>Not captured — attach screenshot path or evidence link after execution.</t>
        </is>
      </c>
    </row>
    <row r="53" ht="63" customHeight="1">
      <c r="A53" s="6" t="inlineStr">
        <is>
          <t>FIL-01</t>
        </is>
      </c>
      <c r="B53" s="7" t="inlineStr">
        <is>
          <t>Results table filtering and selection</t>
        </is>
      </c>
      <c r="C53" s="8" t="inlineStr">
        <is>
          <t>TC-052</t>
        </is>
      </c>
      <c r="D53" s="7" t="inlineStr">
        <is>
          <t>P1</t>
        </is>
      </c>
      <c r="E53" s="7" t="inlineStr">
        <is>
          <t>Filter by status</t>
        </is>
      </c>
      <c r="F53" s="7" t="inlineStr">
        <is>
          <t>Results contain mismatch and missing rows.</t>
        </is>
      </c>
      <c r="G53" s="7" t="inlineStr">
        <is>
          <t>Select each status filter and clear it.</t>
        </is>
      </c>
      <c r="H53" s="7" t="inlineStr">
        <is>
          <t>Only selected status appears; clear restores all rows.</t>
        </is>
      </c>
      <c r="I53" s="7" t="inlineStr">
        <is>
          <t>Not executed — record observed result during execution.</t>
        </is>
      </c>
      <c r="J53" s="5" t="inlineStr">
        <is>
          <t>Not Run</t>
        </is>
      </c>
      <c r="K53" s="7" t="inlineStr">
        <is>
          <t>Not captured — attach screenshot path or evidence link after execution.</t>
        </is>
      </c>
    </row>
    <row r="54" ht="63" customHeight="1">
      <c r="A54" s="2" t="inlineStr">
        <is>
          <t>FIL-01</t>
        </is>
      </c>
      <c r="B54" s="3" t="inlineStr">
        <is>
          <t>Results table filtering and selection</t>
        </is>
      </c>
      <c r="C54" s="4" t="inlineStr">
        <is>
          <t>TC-053</t>
        </is>
      </c>
      <c r="D54" s="3" t="inlineStr">
        <is>
          <t>P1</t>
        </is>
      </c>
      <c r="E54" s="3" t="inlineStr">
        <is>
          <t>Filter by column</t>
        </is>
      </c>
      <c r="F54" s="3" t="inlineStr">
        <is>
          <t>Differences occur in multiple columns.</t>
        </is>
      </c>
      <c r="G54" s="3" t="inlineStr">
        <is>
          <t>Enter a column name; clear it.</t>
        </is>
      </c>
      <c r="H54" s="3" t="inlineStr">
        <is>
          <t>Matching column rows show; clear restores all.</t>
        </is>
      </c>
      <c r="I54" s="3" t="inlineStr">
        <is>
          <t>Not executed — record observed result during execution.</t>
        </is>
      </c>
      <c r="J54" s="5" t="inlineStr">
        <is>
          <t>Not Run</t>
        </is>
      </c>
      <c r="K54" s="3" t="inlineStr">
        <is>
          <t>Not captured — attach screenshot path or evidence link after execution.</t>
        </is>
      </c>
    </row>
    <row r="55" ht="63" customHeight="1">
      <c r="A55" s="6" t="inlineStr">
        <is>
          <t>FIL-01</t>
        </is>
      </c>
      <c r="B55" s="7" t="inlineStr">
        <is>
          <t>Results table filtering and selection</t>
        </is>
      </c>
      <c r="C55" s="8" t="inlineStr">
        <is>
          <t>TC-054</t>
        </is>
      </c>
      <c r="D55" s="7" t="inlineStr">
        <is>
          <t>P1</t>
        </is>
      </c>
      <c r="E55" s="7" t="inlineStr">
        <is>
          <t>Search keys and values</t>
        </is>
      </c>
      <c r="F55" s="7" t="inlineStr">
        <is>
          <t>Known key and values appear in results.</t>
        </is>
      </c>
      <c r="G55" s="7" t="inlineStr">
        <is>
          <t>Search each value and literal regex characters.</t>
        </is>
      </c>
      <c r="H55" s="7" t="inlineStr">
        <is>
          <t>Search matches literal text across result values without regex errors.</t>
        </is>
      </c>
      <c r="I55" s="7" t="inlineStr">
        <is>
          <t>Not executed — record observed result during execution.</t>
        </is>
      </c>
      <c r="J55" s="5" t="inlineStr">
        <is>
          <t>Not Run</t>
        </is>
      </c>
      <c r="K55" s="7" t="inlineStr">
        <is>
          <t>Not captured — attach screenshot path or evidence link after execution.</t>
        </is>
      </c>
    </row>
    <row r="56" ht="63" customHeight="1">
      <c r="A56" s="2" t="inlineStr">
        <is>
          <t>FIL-01</t>
        </is>
      </c>
      <c r="B56" s="3" t="inlineStr">
        <is>
          <t>Results table filtering and selection</t>
        </is>
      </c>
      <c r="C56" s="4" t="inlineStr">
        <is>
          <t>TC-055</t>
        </is>
      </c>
      <c r="D56" s="3" t="inlineStr">
        <is>
          <t>P1</t>
        </is>
      </c>
      <c r="E56" s="3" t="inlineStr">
        <is>
          <t>Paginate result rows</t>
        </is>
      </c>
      <c r="F56" s="3" t="inlineStr">
        <is>
          <t>More than 10 differences.</t>
        </is>
      </c>
      <c r="G56" s="3" t="inlineStr">
        <is>
          <t>Move between result pages.</t>
        </is>
      </c>
      <c r="H56" s="3" t="inlineStr">
        <is>
          <t>Correct rows appear and total remains accurate.</t>
        </is>
      </c>
      <c r="I56" s="3" t="inlineStr">
        <is>
          <t>Not executed — record observed result during execution.</t>
        </is>
      </c>
      <c r="J56" s="5" t="inlineStr">
        <is>
          <t>Not Run</t>
        </is>
      </c>
      <c r="K56" s="3" t="inlineStr">
        <is>
          <t>Not captured — attach screenshot path or evidence link after execution.</t>
        </is>
      </c>
    </row>
    <row r="57" ht="63" customHeight="1">
      <c r="A57" s="6" t="inlineStr">
        <is>
          <t>FIL-01</t>
        </is>
      </c>
      <c r="B57" s="7" t="inlineStr">
        <is>
          <t>Results table filtering and selection</t>
        </is>
      </c>
      <c r="C57" s="8" t="inlineStr">
        <is>
          <t>TC-056</t>
        </is>
      </c>
      <c r="D57" s="7" t="inlineStr">
        <is>
          <t>P2</t>
        </is>
      </c>
      <c r="E57" s="7" t="inlineStr">
        <is>
          <t>Sort results</t>
        </is>
      </c>
      <c r="F57" s="7" t="inlineStr">
        <is>
          <t>Several keys/statuses available.</t>
        </is>
      </c>
      <c r="G57" s="7" t="inlineStr">
        <is>
          <t>Sort ascending and descending by visible headers.</t>
        </is>
      </c>
      <c r="H57" s="7" t="inlineStr">
        <is>
          <t>Rows sort consistently; API sort parameters reflect selection.</t>
        </is>
      </c>
      <c r="I57" s="7" t="inlineStr">
        <is>
          <t>Not executed — record observed result during execution.</t>
        </is>
      </c>
      <c r="J57" s="5" t="inlineStr">
        <is>
          <t>Not Run</t>
        </is>
      </c>
      <c r="K57" s="7" t="inlineStr">
        <is>
          <t>Not captured — attach screenshot path or evidence link after execution.</t>
        </is>
      </c>
    </row>
    <row r="58" ht="63" customHeight="1">
      <c r="A58" s="2" t="inlineStr">
        <is>
          <t>FIL-01</t>
        </is>
      </c>
      <c r="B58" s="3" t="inlineStr">
        <is>
          <t>Results table filtering and selection</t>
        </is>
      </c>
      <c r="C58" s="4" t="inlineStr">
        <is>
          <t>TC-057</t>
        </is>
      </c>
      <c r="D58" s="3" t="inlineStr">
        <is>
          <t>P1</t>
        </is>
      </c>
      <c r="E58" s="3" t="inlineStr">
        <is>
          <t>Select rows and export</t>
        </is>
      </c>
      <c r="F58" s="3" t="inlineStr">
        <is>
          <t>At least two exceptions.</t>
        </is>
      </c>
      <c r="G58" s="3" t="inlineStr">
        <is>
          <t>Select one row and export selected.</t>
        </is>
      </c>
      <c r="H58" s="3" t="inlineStr">
        <is>
          <t>Downloaded XLSX includes only selected exception(s).</t>
        </is>
      </c>
      <c r="I58" s="3" t="inlineStr">
        <is>
          <t>Not executed — record observed result during execution.</t>
        </is>
      </c>
      <c r="J58" s="5" t="inlineStr">
        <is>
          <t>Not Run</t>
        </is>
      </c>
      <c r="K58" s="3" t="inlineStr">
        <is>
          <t>Not captured — attach screenshot path or evidence link after execution.</t>
        </is>
      </c>
    </row>
    <row r="59" ht="63" customHeight="1">
      <c r="A59" s="6" t="inlineStr">
        <is>
          <t>FIL-01</t>
        </is>
      </c>
      <c r="B59" s="7" t="inlineStr">
        <is>
          <t>Results table filtering and selection</t>
        </is>
      </c>
      <c r="C59" s="8" t="inlineStr">
        <is>
          <t>TC-058</t>
        </is>
      </c>
      <c r="D59" s="7" t="inlineStr">
        <is>
          <t>P2</t>
        </is>
      </c>
      <c r="E59" s="7" t="inlineStr">
        <is>
          <t>No selection export state</t>
        </is>
      </c>
      <c r="F59" s="7" t="inlineStr">
        <is>
          <t>No rows selected.</t>
        </is>
      </c>
      <c r="G59" s="7" t="inlineStr">
        <is>
          <t>Inspect Export selected control.</t>
        </is>
      </c>
      <c r="H59" s="7" t="inlineStr">
        <is>
          <t>Control is disabled; no empty export request.</t>
        </is>
      </c>
      <c r="I59" s="7" t="inlineStr">
        <is>
          <t>Not executed — record observed result during execution.</t>
        </is>
      </c>
      <c r="J59" s="5" t="inlineStr">
        <is>
          <t>Not Run</t>
        </is>
      </c>
      <c r="K59" s="7" t="inlineStr">
        <is>
          <t>Not captured — attach screenshot path or evidence link after execution.</t>
        </is>
      </c>
    </row>
    <row r="60" ht="63" customHeight="1">
      <c r="A60" s="2" t="inlineStr">
        <is>
          <t>FIL-01</t>
        </is>
      </c>
      <c r="B60" s="3" t="inlineStr">
        <is>
          <t>Results table filtering and selection</t>
        </is>
      </c>
      <c r="C60" s="4" t="inlineStr">
        <is>
          <t>TC-059</t>
        </is>
      </c>
      <c r="D60" s="3" t="inlineStr">
        <is>
          <t>P2</t>
        </is>
      </c>
      <c r="E60" s="3" t="inlineStr">
        <is>
          <t>Zero-result filter</t>
        </is>
      </c>
      <c r="F60" s="3" t="inlineStr">
        <is>
          <t>Comparison has exceptions.</t>
        </is>
      </c>
      <c r="G60" s="3" t="inlineStr">
        <is>
          <t>Search for a value not present.</t>
        </is>
      </c>
      <c r="H60" s="3" t="inlineStr">
        <is>
          <t>Empty state shown; no stale rows remain.</t>
        </is>
      </c>
      <c r="I60" s="3" t="inlineStr">
        <is>
          <t>Not executed — record observed result during execution.</t>
        </is>
      </c>
      <c r="J60" s="5" t="inlineStr">
        <is>
          <t>Not Run</t>
        </is>
      </c>
      <c r="K60" s="3" t="inlineStr">
        <is>
          <t>Not captured — attach screenshot path or evidence link after execution.</t>
        </is>
      </c>
    </row>
    <row r="61" ht="63" customHeight="1">
      <c r="A61" s="6" t="inlineStr">
        <is>
          <t>ANA-01</t>
        </is>
      </c>
      <c r="B61" s="7" t="inlineStr">
        <is>
          <t>KPI and visual analytics</t>
        </is>
      </c>
      <c r="C61" s="8" t="inlineStr">
        <is>
          <t>TC-060</t>
        </is>
      </c>
      <c r="D61" s="7" t="inlineStr">
        <is>
          <t>P1</t>
        </is>
      </c>
      <c r="E61" s="7" t="inlineStr">
        <is>
          <t>Verify six KPI metrics</t>
        </is>
      </c>
      <c r="F61" s="7" t="inlineStr">
        <is>
          <t>Run with matches, mismatches, and missing records.</t>
        </is>
      </c>
      <c r="G61" s="7" t="inlineStr">
        <is>
          <t>Inspect result overview.</t>
        </is>
      </c>
      <c r="H61" s="7" t="inlineStr">
        <is>
          <t>Six KPI values equal API summary.</t>
        </is>
      </c>
      <c r="I61" s="7" t="inlineStr">
        <is>
          <t>Not executed — record observed result during execution.</t>
        </is>
      </c>
      <c r="J61" s="5" t="inlineStr">
        <is>
          <t>Not Run</t>
        </is>
      </c>
      <c r="K61" s="7" t="inlineStr">
        <is>
          <t>Not captured — attach screenshot path or evidence link after execution.</t>
        </is>
      </c>
    </row>
    <row r="62" ht="63" customHeight="1">
      <c r="A62" s="2" t="inlineStr">
        <is>
          <t>ANA-01</t>
        </is>
      </c>
      <c r="B62" s="3" t="inlineStr">
        <is>
          <t>KPI and visual analytics</t>
        </is>
      </c>
      <c r="C62" s="4" t="inlineStr">
        <is>
          <t>TC-061</t>
        </is>
      </c>
      <c r="D62" s="3" t="inlineStr">
        <is>
          <t>P1</t>
        </is>
      </c>
      <c r="E62" s="3" t="inlineStr">
        <is>
          <t>Verify match distribution chart</t>
        </is>
      </c>
      <c r="F62" s="3" t="inlineStr">
        <is>
          <t>Known matched/mismatched counts.</t>
        </is>
      </c>
      <c r="G62" s="3" t="inlineStr">
        <is>
          <t>Inspect pie chart and legend.</t>
        </is>
      </c>
      <c r="H62" s="3" t="inlineStr">
        <is>
          <t>Record-level counts equal summary.</t>
        </is>
      </c>
      <c r="I62" s="3" t="inlineStr">
        <is>
          <t>Not executed — record observed result during execution.</t>
        </is>
      </c>
      <c r="J62" s="5" t="inlineStr">
        <is>
          <t>Not Run</t>
        </is>
      </c>
      <c r="K62" s="3" t="inlineStr">
        <is>
          <t>Not captured — attach screenshot path or evidence link after execution.</t>
        </is>
      </c>
    </row>
    <row r="63" ht="63" customHeight="1">
      <c r="A63" s="6" t="inlineStr">
        <is>
          <t>ANA-01</t>
        </is>
      </c>
      <c r="B63" s="7" t="inlineStr">
        <is>
          <t>KPI and visual analytics</t>
        </is>
      </c>
      <c r="C63" s="8" t="inlineStr">
        <is>
          <t>TC-062</t>
        </is>
      </c>
      <c r="D63" s="7" t="inlineStr">
        <is>
          <t>P1</t>
        </is>
      </c>
      <c r="E63" s="7" t="inlineStr">
        <is>
          <t>Verify column difference chart</t>
        </is>
      </c>
      <c r="F63" s="7" t="inlineStr">
        <is>
          <t>Mismatches in two columns.</t>
        </is>
      </c>
      <c r="G63" s="7" t="inlineStr">
        <is>
          <t>Inspect bar chart.</t>
        </is>
      </c>
      <c r="H63" s="7" t="inlineStr">
        <is>
          <t>Bar counts reflect mismatch cells per column.</t>
        </is>
      </c>
      <c r="I63" s="7" t="inlineStr">
        <is>
          <t>Not executed — record observed result during execution.</t>
        </is>
      </c>
      <c r="J63" s="5" t="inlineStr">
        <is>
          <t>Not Run</t>
        </is>
      </c>
      <c r="K63" s="7" t="inlineStr">
        <is>
          <t>Not captured — attach screenshot path or evidence link after execution.</t>
        </is>
      </c>
    </row>
    <row r="64" ht="63" customHeight="1">
      <c r="A64" s="2" t="inlineStr">
        <is>
          <t>ANA-01</t>
        </is>
      </c>
      <c r="B64" s="3" t="inlineStr">
        <is>
          <t>KPI and visual analytics</t>
        </is>
      </c>
      <c r="C64" s="4" t="inlineStr">
        <is>
          <t>TC-063</t>
        </is>
      </c>
      <c r="D64" s="3" t="inlineStr">
        <is>
          <t>P2</t>
        </is>
      </c>
      <c r="E64" s="3" t="inlineStr">
        <is>
          <t>Verify analytics empty states</t>
        </is>
      </c>
      <c r="F64" s="3" t="inlineStr">
        <is>
          <t>Identical/empty datasets.</t>
        </is>
      </c>
      <c r="G64" s="3" t="inlineStr">
        <is>
          <t>Inspect charts.</t>
        </is>
      </c>
      <c r="H64" s="3" t="inlineStr">
        <is>
          <t>Clear zero-data state; no misleading values or runtime error.</t>
        </is>
      </c>
      <c r="I64" s="3" t="inlineStr">
        <is>
          <t>Not executed — record observed result during execution.</t>
        </is>
      </c>
      <c r="J64" s="5" t="inlineStr">
        <is>
          <t>Not Run</t>
        </is>
      </c>
      <c r="K64" s="3" t="inlineStr">
        <is>
          <t>Not captured — attach screenshot path or evidence link after execution.</t>
        </is>
      </c>
    </row>
    <row r="65" ht="63" customHeight="1">
      <c r="A65" s="6" t="inlineStr">
        <is>
          <t>EXP-01</t>
        </is>
      </c>
      <c r="B65" s="7" t="inlineStr">
        <is>
          <t>Report downloads and metadata</t>
        </is>
      </c>
      <c r="C65" s="8" t="inlineStr">
        <is>
          <t>TC-064</t>
        </is>
      </c>
      <c r="D65" s="7" t="inlineStr">
        <is>
          <t>P1</t>
        </is>
      </c>
      <c r="E65" s="7" t="inlineStr">
        <is>
          <t>Download Excel report</t>
        </is>
      </c>
      <c r="F65" s="7" t="inlineStr">
        <is>
          <t>Comparison completed.</t>
        </is>
      </c>
      <c r="G65" s="7" t="inlineStr">
        <is>
          <t>Choose XLSX.</t>
        </is>
      </c>
      <c r="H65" s="7" t="inlineStr">
        <is>
          <t>Valid workbook downloads with Summary, Differences and Metadata sheets.</t>
        </is>
      </c>
      <c r="I65" s="7" t="inlineStr">
        <is>
          <t>Not executed — record observed result during execution.</t>
        </is>
      </c>
      <c r="J65" s="5" t="inlineStr">
        <is>
          <t>Not Run</t>
        </is>
      </c>
      <c r="K65" s="7" t="inlineStr">
        <is>
          <t>Not captured — attach screenshot path or evidence link after execution.</t>
        </is>
      </c>
    </row>
    <row r="66" ht="63" customHeight="1">
      <c r="A66" s="2" t="inlineStr">
        <is>
          <t>EXP-01</t>
        </is>
      </c>
      <c r="B66" s="3" t="inlineStr">
        <is>
          <t>Report downloads and metadata</t>
        </is>
      </c>
      <c r="C66" s="4" t="inlineStr">
        <is>
          <t>TC-065</t>
        </is>
      </c>
      <c r="D66" s="3" t="inlineStr">
        <is>
          <t>P1</t>
        </is>
      </c>
      <c r="E66" s="3" t="inlineStr">
        <is>
          <t>Download CSV report</t>
        </is>
      </c>
      <c r="F66" s="3" t="inlineStr">
        <is>
          <t>Comparison completed.</t>
        </is>
      </c>
      <c r="G66" s="3" t="inlineStr">
        <is>
          <t>Choose CSV.</t>
        </is>
      </c>
      <c r="H66" s="3" t="inlineStr">
        <is>
          <t>UTF-8 CSV includes expected columns and exception rows.</t>
        </is>
      </c>
      <c r="I66" s="3" t="inlineStr">
        <is>
          <t>Not executed — record observed result during execution.</t>
        </is>
      </c>
      <c r="J66" s="5" t="inlineStr">
        <is>
          <t>Not Run</t>
        </is>
      </c>
      <c r="K66" s="3" t="inlineStr">
        <is>
          <t>Not captured — attach screenshot path or evidence link after execution.</t>
        </is>
      </c>
    </row>
    <row r="67" ht="63" customHeight="1">
      <c r="A67" s="6" t="inlineStr">
        <is>
          <t>EXP-01</t>
        </is>
      </c>
      <c r="B67" s="7" t="inlineStr">
        <is>
          <t>Report downloads and metadata</t>
        </is>
      </c>
      <c r="C67" s="8" t="inlineStr">
        <is>
          <t>TC-066</t>
        </is>
      </c>
      <c r="D67" s="7" t="inlineStr">
        <is>
          <t>P1</t>
        </is>
      </c>
      <c r="E67" s="7" t="inlineStr">
        <is>
          <t>Download JSON report</t>
        </is>
      </c>
      <c r="F67" s="7" t="inlineStr">
        <is>
          <t>Comparison completed.</t>
        </is>
      </c>
      <c r="G67" s="7" t="inlineStr">
        <is>
          <t>Choose JSON.</t>
        </is>
      </c>
      <c r="H67" s="7" t="inlineStr">
        <is>
          <t>Valid JSON contains metadata, summary and results.</t>
        </is>
      </c>
      <c r="I67" s="7" t="inlineStr">
        <is>
          <t>Not executed — record observed result during execution.</t>
        </is>
      </c>
      <c r="J67" s="5" t="inlineStr">
        <is>
          <t>Not Run</t>
        </is>
      </c>
      <c r="K67" s="7" t="inlineStr">
        <is>
          <t>Not captured — attach screenshot path or evidence link after execution.</t>
        </is>
      </c>
    </row>
    <row r="68" ht="63" customHeight="1">
      <c r="A68" s="2" t="inlineStr">
        <is>
          <t>EXP-01</t>
        </is>
      </c>
      <c r="B68" s="3" t="inlineStr">
        <is>
          <t>Report downloads and metadata</t>
        </is>
      </c>
      <c r="C68" s="4" t="inlineStr">
        <is>
          <t>TC-067</t>
        </is>
      </c>
      <c r="D68" s="3" t="inlineStr">
        <is>
          <t>P1</t>
        </is>
      </c>
      <c r="E68" s="3" t="inlineStr">
        <is>
          <t>Download PDF report</t>
        </is>
      </c>
      <c r="F68" s="3" t="inlineStr">
        <is>
          <t>Comparison completed.</t>
        </is>
      </c>
      <c r="G68" s="3" t="inlineStr">
        <is>
          <t>Choose PDF.</t>
        </is>
      </c>
      <c r="H68" s="3" t="inlineStr">
        <is>
          <t>Valid PDF includes run metadata, summary and exceptions.</t>
        </is>
      </c>
      <c r="I68" s="3" t="inlineStr">
        <is>
          <t>Not executed — record observed result during execution.</t>
        </is>
      </c>
      <c r="J68" s="5" t="inlineStr">
        <is>
          <t>Not Run</t>
        </is>
      </c>
      <c r="K68" s="3" t="inlineStr">
        <is>
          <t>Not captured — attach screenshot path or evidence link after execution.</t>
        </is>
      </c>
    </row>
    <row r="69" ht="63" customHeight="1">
      <c r="A69" s="6" t="inlineStr">
        <is>
          <t>EXP-01</t>
        </is>
      </c>
      <c r="B69" s="7" t="inlineStr">
        <is>
          <t>Report downloads and metadata</t>
        </is>
      </c>
      <c r="C69" s="8" t="inlineStr">
        <is>
          <t>TC-068</t>
        </is>
      </c>
      <c r="D69" s="7" t="inlineStr">
        <is>
          <t>P1</t>
        </is>
      </c>
      <c r="E69" s="7" t="inlineStr">
        <is>
          <t>Verify report metadata</t>
        </is>
      </c>
      <c r="F69" s="7" t="inlineStr">
        <is>
          <t>Comparison completed.</t>
        </is>
      </c>
      <c r="G69" s="7" t="inlineStr">
        <is>
          <t>Compare UI and exports.</t>
        </is>
      </c>
      <c r="H69" s="7" t="inlineStr">
        <is>
          <t>Timestamp, file names, record count, primary keys and duration agree.</t>
        </is>
      </c>
      <c r="I69" s="7" t="inlineStr">
        <is>
          <t>Not executed — record observed result during execution.</t>
        </is>
      </c>
      <c r="J69" s="5" t="inlineStr">
        <is>
          <t>Not Run</t>
        </is>
      </c>
      <c r="K69" s="7" t="inlineStr">
        <is>
          <t>Not captured — attach screenshot path or evidence link after execution.</t>
        </is>
      </c>
    </row>
    <row r="70" ht="63" customHeight="1">
      <c r="A70" s="2" t="inlineStr">
        <is>
          <t>EXP-01</t>
        </is>
      </c>
      <c r="B70" s="3" t="inlineStr">
        <is>
          <t>Report downloads and metadata</t>
        </is>
      </c>
      <c r="C70" s="4" t="inlineStr">
        <is>
          <t>TC-069</t>
        </is>
      </c>
      <c r="D70" s="3" t="inlineStr">
        <is>
          <t>P1</t>
        </is>
      </c>
      <c r="E70" s="3" t="inlineStr">
        <is>
          <t>Export before comparison</t>
        </is>
      </c>
      <c r="F70" s="3" t="inlineStr">
        <is>
          <t>No run exists.</t>
        </is>
      </c>
      <c r="G70" s="3" t="inlineStr">
        <is>
          <t>Inspect export controls/API behavior.</t>
        </is>
      </c>
      <c r="H70" s="3" t="inlineStr">
        <is>
          <t>Export is unavailable or API returns 404; no false success.</t>
        </is>
      </c>
      <c r="I70" s="3" t="inlineStr">
        <is>
          <t>Not executed — record observed result during execution.</t>
        </is>
      </c>
      <c r="J70" s="5" t="inlineStr">
        <is>
          <t>Not Run</t>
        </is>
      </c>
      <c r="K70" s="3" t="inlineStr">
        <is>
          <t>Not captured — attach screenshot path or evidence link after execution.</t>
        </is>
      </c>
    </row>
    <row r="71" ht="63" customHeight="1">
      <c r="A71" s="6" t="inlineStr">
        <is>
          <t>EXP-01</t>
        </is>
      </c>
      <c r="B71" s="7" t="inlineStr">
        <is>
          <t>Report downloads and metadata</t>
        </is>
      </c>
      <c r="C71" s="8" t="inlineStr">
        <is>
          <t>TC-070</t>
        </is>
      </c>
      <c r="D71" s="7" t="inlineStr">
        <is>
          <t>P2</t>
        </is>
      </c>
      <c r="E71" s="7" t="inlineStr">
        <is>
          <t>Download zero-difference reports</t>
        </is>
      </c>
      <c r="F71" s="7" t="inlineStr">
        <is>
          <t>Run identical files.</t>
        </is>
      </c>
      <c r="G71" s="7" t="inlineStr">
        <is>
          <t>Download all four formats.</t>
        </is>
      </c>
      <c r="H71" s="7" t="inlineStr">
        <is>
          <t>All files are valid and report zero exceptions.</t>
        </is>
      </c>
      <c r="I71" s="7" t="inlineStr">
        <is>
          <t>Not executed — record observed result during execution.</t>
        </is>
      </c>
      <c r="J71" s="5" t="inlineStr">
        <is>
          <t>Not Run</t>
        </is>
      </c>
      <c r="K71" s="7" t="inlineStr">
        <is>
          <t>Not captured — attach screenshot path or evidence link after execution.</t>
        </is>
      </c>
    </row>
    <row r="72" ht="63" customHeight="1">
      <c r="A72" s="2" t="inlineStr">
        <is>
          <t>EXP-01</t>
        </is>
      </c>
      <c r="B72" s="3" t="inlineStr">
        <is>
          <t>Report downloads and metadata</t>
        </is>
      </c>
      <c r="C72" s="4" t="inlineStr">
        <is>
          <t>TC-071</t>
        </is>
      </c>
      <c r="D72" s="3" t="inlineStr">
        <is>
          <t>P1</t>
        </is>
      </c>
      <c r="E72" s="3" t="inlineStr">
        <is>
          <t>Reject unsupported report format</t>
        </is>
      </c>
      <c r="F72" s="3" t="inlineStr">
        <is>
          <t>Valid comparison ID.</t>
        </is>
      </c>
      <c r="G72" s="3" t="inlineStr">
        <is>
          <t>GET /report/docx.</t>
        </is>
      </c>
      <c r="H72" s="3" t="inlineStr">
        <is>
          <t>HTTP 400 explains supported formats.</t>
        </is>
      </c>
      <c r="I72" s="3" t="inlineStr">
        <is>
          <t>Not executed — record observed result during execution.</t>
        </is>
      </c>
      <c r="J72" s="5" t="inlineStr">
        <is>
          <t>Not Run</t>
        </is>
      </c>
      <c r="K72" s="3" t="inlineStr">
        <is>
          <t>Not captured — attach screenshot path or evidence link after execution.</t>
        </is>
      </c>
    </row>
    <row r="73" ht="63" customHeight="1">
      <c r="A73" s="6" t="inlineStr">
        <is>
          <t>EXP-01</t>
        </is>
      </c>
      <c r="B73" s="7" t="inlineStr">
        <is>
          <t>Report downloads and metadata</t>
        </is>
      </c>
      <c r="C73" s="8" t="inlineStr">
        <is>
          <t>TC-072</t>
        </is>
      </c>
      <c r="D73" s="7" t="inlineStr">
        <is>
          <t>P1</t>
        </is>
      </c>
      <c r="E73" s="7" t="inlineStr">
        <is>
          <t>Reject invalid selected indexes</t>
        </is>
      </c>
      <c r="F73" s="7" t="inlineStr">
        <is>
          <t>Valid comparison ID.</t>
        </is>
      </c>
      <c r="G73" s="7" t="inlineStr">
        <is>
          <t>Request selected negative/out-of-range row index.</t>
        </is>
      </c>
      <c r="H73" s="7" t="inlineStr">
        <is>
          <t>HTTP 400; invalid partial report is not returned.</t>
        </is>
      </c>
      <c r="I73" s="7" t="inlineStr">
        <is>
          <t>Not executed — record observed result during execution.</t>
        </is>
      </c>
      <c r="J73" s="5" t="inlineStr">
        <is>
          <t>Not Run</t>
        </is>
      </c>
      <c r="K73" s="7" t="inlineStr">
        <is>
          <t>Not captured — attach screenshot path or evidence link after execution.</t>
        </is>
      </c>
    </row>
    <row r="74" ht="63" customHeight="1">
      <c r="A74" s="2" t="inlineStr">
        <is>
          <t>API-01</t>
        </is>
      </c>
      <c r="B74" s="3" t="inlineStr">
        <is>
          <t>REST API contract and pagination</t>
        </is>
      </c>
      <c r="C74" s="4" t="inlineStr">
        <is>
          <t>TC-073</t>
        </is>
      </c>
      <c r="D74" s="3" t="inlineStr">
        <is>
          <t>P1</t>
        </is>
      </c>
      <c r="E74" s="3" t="inlineStr">
        <is>
          <t>Preview requires file</t>
        </is>
      </c>
      <c r="F74" s="3" t="inlineStr">
        <is>
          <t>API running.</t>
        </is>
      </c>
      <c r="G74" s="3" t="inlineStr">
        <is>
          <t>POST /api/preview without multipart file.</t>
        </is>
      </c>
      <c r="H74" s="3" t="inlineStr">
        <is>
          <t>Client error with validation detail; server remains healthy.</t>
        </is>
      </c>
      <c r="I74" s="3" t="inlineStr">
        <is>
          <t>Not executed — record observed result during execution.</t>
        </is>
      </c>
      <c r="J74" s="5" t="inlineStr">
        <is>
          <t>Not Run</t>
        </is>
      </c>
      <c r="K74" s="3" t="inlineStr">
        <is>
          <t>Not captured — attach screenshot path or evidence link after execution.</t>
        </is>
      </c>
    </row>
    <row r="75" ht="63" customHeight="1">
      <c r="A75" s="6" t="inlineStr">
        <is>
          <t>API-01</t>
        </is>
      </c>
      <c r="B75" s="7" t="inlineStr">
        <is>
          <t>REST API contract and pagination</t>
        </is>
      </c>
      <c r="C75" s="8" t="inlineStr">
        <is>
          <t>TC-074</t>
        </is>
      </c>
      <c r="D75" s="7" t="inlineStr">
        <is>
          <t>P1</t>
        </is>
      </c>
      <c r="E75" s="7" t="inlineStr">
        <is>
          <t>Preview response schema</t>
        </is>
      </c>
      <c r="F75" s="7" t="inlineStr">
        <is>
          <t>Valid supported file.</t>
        </is>
      </c>
      <c r="G75" s="7" t="inlineStr">
        <is>
          <t>POST /api/preview with file.</t>
        </is>
      </c>
      <c r="H75" s="7" t="inlineStr">
        <is>
          <t>Response includes filename, size, count, columns, last_modified and up to ten rows.</t>
        </is>
      </c>
      <c r="I75" s="7" t="inlineStr">
        <is>
          <t>Not executed — record observed result during execution.</t>
        </is>
      </c>
      <c r="J75" s="5" t="inlineStr">
        <is>
          <t>Not Run</t>
        </is>
      </c>
      <c r="K75" s="7" t="inlineStr">
        <is>
          <t>Not captured — attach screenshot path or evidence link after execution.</t>
        </is>
      </c>
    </row>
    <row r="76" ht="63" customHeight="1">
      <c r="A76" s="2" t="inlineStr">
        <is>
          <t>API-01</t>
        </is>
      </c>
      <c r="B76" s="3" t="inlineStr">
        <is>
          <t>REST API contract and pagination</t>
        </is>
      </c>
      <c r="C76" s="4" t="inlineStr">
        <is>
          <t>TC-075</t>
        </is>
      </c>
      <c r="D76" s="3" t="inlineStr">
        <is>
          <t>P1</t>
        </is>
      </c>
      <c r="E76" s="3" t="inlineStr">
        <is>
          <t>Compare response schema</t>
        </is>
      </c>
      <c r="F76" s="3" t="inlineStr">
        <is>
          <t>Valid source and target.</t>
        </is>
      </c>
      <c r="G76" s="3" t="inlineStr">
        <is>
          <t>POST /api/compare.</t>
        </is>
      </c>
      <c r="H76" s="3" t="inlineStr">
        <is>
          <t>Response includes summary, metadata, columns, first results, result_count and column differences.</t>
        </is>
      </c>
      <c r="I76" s="3" t="inlineStr">
        <is>
          <t>Not executed — record observed result during execution.</t>
        </is>
      </c>
      <c r="J76" s="5" t="inlineStr">
        <is>
          <t>Not Run</t>
        </is>
      </c>
      <c r="K76" s="3" t="inlineStr">
        <is>
          <t>Not captured — attach screenshot path or evidence link after execution.</t>
        </is>
      </c>
    </row>
    <row r="77" ht="63" customHeight="1">
      <c r="A77" s="6" t="inlineStr">
        <is>
          <t>API-01</t>
        </is>
      </c>
      <c r="B77" s="7" t="inlineStr">
        <is>
          <t>REST API contract and pagination</t>
        </is>
      </c>
      <c r="C77" s="8" t="inlineStr">
        <is>
          <t>TC-076</t>
        </is>
      </c>
      <c r="D77" s="7" t="inlineStr">
        <is>
          <t>P1</t>
        </is>
      </c>
      <c r="E77" s="7" t="inlineStr">
        <is>
          <t>Results default page</t>
        </is>
      </c>
      <c r="F77" s="7" t="inlineStr">
        <is>
          <t>Valid comparison ID.</t>
        </is>
      </c>
      <c r="G77" s="7" t="inlineStr">
        <is>
          <t>GET results without query parameters.</t>
        </is>
      </c>
      <c r="H77" s="7" t="inlineStr">
        <is>
          <t>Returns total, offset, limit and page; default limit 50.</t>
        </is>
      </c>
      <c r="I77" s="7" t="inlineStr">
        <is>
          <t>Not executed — record observed result during execution.</t>
        </is>
      </c>
      <c r="J77" s="5" t="inlineStr">
        <is>
          <t>Not Run</t>
        </is>
      </c>
      <c r="K77" s="7" t="inlineStr">
        <is>
          <t>Not captured — attach screenshot path or evidence link after execution.</t>
        </is>
      </c>
    </row>
    <row r="78" ht="63" customHeight="1">
      <c r="A78" s="2" t="inlineStr">
        <is>
          <t>API-01</t>
        </is>
      </c>
      <c r="B78" s="3" t="inlineStr">
        <is>
          <t>REST API contract and pagination</t>
        </is>
      </c>
      <c r="C78" s="4" t="inlineStr">
        <is>
          <t>TC-077</t>
        </is>
      </c>
      <c r="D78" s="3" t="inlineStr">
        <is>
          <t>P1</t>
        </is>
      </c>
      <c r="E78" s="3" t="inlineStr">
        <is>
          <t>Clamp results page limit</t>
        </is>
      </c>
      <c r="F78" s="3" t="inlineStr">
        <is>
          <t>Valid comparison ID.</t>
        </is>
      </c>
      <c r="G78" s="3" t="inlineStr">
        <is>
          <t>Request limit=10000 and limit=0.</t>
        </is>
      </c>
      <c r="H78" s="3" t="inlineStr">
        <is>
          <t>Limit is clamped to range 1 through 500.</t>
        </is>
      </c>
      <c r="I78" s="3" t="inlineStr">
        <is>
          <t>Not executed — record observed result during execution.</t>
        </is>
      </c>
      <c r="J78" s="5" t="inlineStr">
        <is>
          <t>Not Run</t>
        </is>
      </c>
      <c r="K78" s="3" t="inlineStr">
        <is>
          <t>Not captured — attach screenshot path or evidence link after execution.</t>
        </is>
      </c>
    </row>
    <row r="79" ht="63" customHeight="1">
      <c r="A79" s="6" t="inlineStr">
        <is>
          <t>API-01</t>
        </is>
      </c>
      <c r="B79" s="7" t="inlineStr">
        <is>
          <t>REST API contract and pagination</t>
        </is>
      </c>
      <c r="C79" s="8" t="inlineStr">
        <is>
          <t>TC-078</t>
        </is>
      </c>
      <c r="D79" s="7" t="inlineStr">
        <is>
          <t>P1</t>
        </is>
      </c>
      <c r="E79" s="7" t="inlineStr">
        <is>
          <t>Paginate source preview</t>
        </is>
      </c>
      <c r="F79" s="7" t="inlineStr">
        <is>
          <t>Valid comparison ID.</t>
        </is>
      </c>
      <c r="G79" s="7" t="inlineStr">
        <is>
          <t>GET preview/source with offset and limit.</t>
        </is>
      </c>
      <c r="H79" s="7" t="inlineStr">
        <is>
          <t>Returns total, columns and requested page.</t>
        </is>
      </c>
      <c r="I79" s="7" t="inlineStr">
        <is>
          <t>Not executed — record observed result during execution.</t>
        </is>
      </c>
      <c r="J79" s="5" t="inlineStr">
        <is>
          <t>Not Run</t>
        </is>
      </c>
      <c r="K79" s="7" t="inlineStr">
        <is>
          <t>Not captured — attach screenshot path or evidence link after execution.</t>
        </is>
      </c>
    </row>
    <row r="80" ht="63" customHeight="1">
      <c r="A80" s="2" t="inlineStr">
        <is>
          <t>API-01</t>
        </is>
      </c>
      <c r="B80" s="3" t="inlineStr">
        <is>
          <t>REST API contract and pagination</t>
        </is>
      </c>
      <c r="C80" s="4" t="inlineStr">
        <is>
          <t>TC-079</t>
        </is>
      </c>
      <c r="D80" s="3" t="inlineStr">
        <is>
          <t>P1</t>
        </is>
      </c>
      <c r="E80" s="3" t="inlineStr">
        <is>
          <t>Reject invalid preview side</t>
        </is>
      </c>
      <c r="F80" s="3" t="inlineStr">
        <is>
          <t>Valid comparison ID.</t>
        </is>
      </c>
      <c r="G80" s="3" t="inlineStr">
        <is>
          <t>GET preview/other.</t>
        </is>
      </c>
      <c r="H80" s="3" t="inlineStr">
        <is>
          <t>HTTP 400 with valid side guidance.</t>
        </is>
      </c>
      <c r="I80" s="3" t="inlineStr">
        <is>
          <t>Not executed — record observed result during execution.</t>
        </is>
      </c>
      <c r="J80" s="5" t="inlineStr">
        <is>
          <t>Not Run</t>
        </is>
      </c>
      <c r="K80" s="3" t="inlineStr">
        <is>
          <t>Not captured — attach screenshot path or evidence link after execution.</t>
        </is>
      </c>
    </row>
    <row r="81" ht="63" customHeight="1">
      <c r="A81" s="6" t="inlineStr">
        <is>
          <t>API-01</t>
        </is>
      </c>
      <c r="B81" s="7" t="inlineStr">
        <is>
          <t>REST API contract and pagination</t>
        </is>
      </c>
      <c r="C81" s="8" t="inlineStr">
        <is>
          <t>TC-080</t>
        </is>
      </c>
      <c r="D81" s="7" t="inlineStr">
        <is>
          <t>P1</t>
        </is>
      </c>
      <c r="E81" s="7" t="inlineStr">
        <is>
          <t>Reject expired/unknown run</t>
        </is>
      </c>
      <c r="F81" s="7" t="inlineStr">
        <is>
          <t>Random or expired ID.</t>
        </is>
      </c>
      <c r="G81" s="7" t="inlineStr">
        <is>
          <t>Request results, preview, metadata and report.</t>
        </is>
      </c>
      <c r="H81" s="7" t="inlineStr">
        <is>
          <t>HTTP 404 for unavailable comparison.</t>
        </is>
      </c>
      <c r="I81" s="7" t="inlineStr">
        <is>
          <t>Not executed — record observed result during execution.</t>
        </is>
      </c>
      <c r="J81" s="5" t="inlineStr">
        <is>
          <t>Not Run</t>
        </is>
      </c>
      <c r="K81" s="7" t="inlineStr">
        <is>
          <t>Not captured — attach screenshot path or evidence link after execution.</t>
        </is>
      </c>
    </row>
    <row r="82" ht="63" customHeight="1">
      <c r="A82" s="2" t="inlineStr">
        <is>
          <t>API-01</t>
        </is>
      </c>
      <c r="B82" s="3" t="inlineStr">
        <is>
          <t>REST API contract and pagination</t>
        </is>
      </c>
      <c r="C82" s="4" t="inlineStr">
        <is>
          <t>TC-081</t>
        </is>
      </c>
      <c r="D82" s="3" t="inlineStr">
        <is>
          <t>P2</t>
        </is>
      </c>
      <c r="E82" s="3" t="inlineStr">
        <is>
          <t>Check metadata endpoint</t>
        </is>
      </c>
      <c r="F82" s="3" t="inlineStr">
        <is>
          <t>Comparison completed.</t>
        </is>
      </c>
      <c r="G82" s="3" t="inlineStr">
        <is>
          <t>GET /metadata.</t>
        </is>
      </c>
      <c r="H82" s="3" t="inlineStr">
        <is>
          <t>Metadata and summary agree with compare response.</t>
        </is>
      </c>
      <c r="I82" s="3" t="inlineStr">
        <is>
          <t>Not executed — record observed result during execution.</t>
        </is>
      </c>
      <c r="J82" s="5" t="inlineStr">
        <is>
          <t>Not Run</t>
        </is>
      </c>
      <c r="K82" s="3" t="inlineStr">
        <is>
          <t>Not captured — attach screenshot path or evidence link after execution.</t>
        </is>
      </c>
    </row>
    <row r="83" ht="63" customHeight="1">
      <c r="A83" s="6" t="inlineStr">
        <is>
          <t>API-01</t>
        </is>
      </c>
      <c r="B83" s="7" t="inlineStr">
        <is>
          <t>REST API contract and pagination</t>
        </is>
      </c>
      <c r="C83" s="8" t="inlineStr">
        <is>
          <t>TC-082</t>
        </is>
      </c>
      <c r="D83" s="7" t="inlineStr">
        <is>
          <t>P2</t>
        </is>
      </c>
      <c r="E83" s="7" t="inlineStr">
        <is>
          <t>Verify in-memory cap and TTL</t>
        </is>
      </c>
      <c r="F83" s="7" t="inlineStr">
        <is>
          <t>Create four runs or control time in test environment.</t>
        </is>
      </c>
      <c r="G83" s="7" t="inlineStr">
        <is>
          <t>Request evicted or expired run.</t>
        </is>
      </c>
      <c r="H83" s="7" t="inlineStr">
        <is>
          <t>Only three active runs retained; after 30 minutes run returns 404.</t>
        </is>
      </c>
      <c r="I83" s="7" t="inlineStr">
        <is>
          <t>Not executed — record observed result during execution.</t>
        </is>
      </c>
      <c r="J83" s="5" t="inlineStr">
        <is>
          <t>Not Run</t>
        </is>
      </c>
      <c r="K83" s="7" t="inlineStr">
        <is>
          <t>Not captured — attach screenshot path or evidence link after execution.</t>
        </is>
      </c>
    </row>
    <row r="84" ht="63" customHeight="1">
      <c r="A84" s="2" t="inlineStr">
        <is>
          <t>ERR-01</t>
        </is>
      </c>
      <c r="B84" s="3" t="inlineStr">
        <is>
          <t>Negative, resilience and input security</t>
        </is>
      </c>
      <c r="C84" s="4" t="inlineStr">
        <is>
          <t>TC-083</t>
        </is>
      </c>
      <c r="D84" s="3" t="inlineStr">
        <is>
          <t>P1</t>
        </is>
      </c>
      <c r="E84" s="3" t="inlineStr">
        <is>
          <t>Malformed primary_keys JSON</t>
        </is>
      </c>
      <c r="F84" s="3" t="inlineStr">
        <is>
          <t>API running.</t>
        </is>
      </c>
      <c r="G84" s="3" t="inlineStr">
        <is>
          <t>POST compare with invalid JSON primary_keys.</t>
        </is>
      </c>
      <c r="H84" s="3" t="inlineStr">
        <is>
          <t>HTTP 400 validation response, not traceback/500.</t>
        </is>
      </c>
      <c r="I84" s="3" t="inlineStr">
        <is>
          <t>Not executed — record observed result during execution.</t>
        </is>
      </c>
      <c r="J84" s="5" t="inlineStr">
        <is>
          <t>Not Run</t>
        </is>
      </c>
      <c r="K84" s="3" t="inlineStr">
        <is>
          <t>Not captured — attach screenshot path or evidence link after execution.</t>
        </is>
      </c>
    </row>
    <row r="85" ht="63" customHeight="1">
      <c r="A85" s="6" t="inlineStr">
        <is>
          <t>ERR-01</t>
        </is>
      </c>
      <c r="B85" s="7" t="inlineStr">
        <is>
          <t>Negative, resilience and input security</t>
        </is>
      </c>
      <c r="C85" s="8" t="inlineStr">
        <is>
          <t>TC-084</t>
        </is>
      </c>
      <c r="D85" s="7" t="inlineStr">
        <is>
          <t>P1</t>
        </is>
      </c>
      <c r="E85" s="7" t="inlineStr">
        <is>
          <t>Empty or invalid key list</t>
        </is>
      </c>
      <c r="F85" s="7" t="inlineStr">
        <is>
          <t>API running.</t>
        </is>
      </c>
      <c r="G85" s="7" t="inlineStr">
        <is>
          <t>POST with [] or non-list key JSON.</t>
        </is>
      </c>
      <c r="H85" s="7" t="inlineStr">
        <is>
          <t>HTTP 400 explains required key selection.</t>
        </is>
      </c>
      <c r="I85" s="7" t="inlineStr">
        <is>
          <t>Not executed — record observed result during execution.</t>
        </is>
      </c>
      <c r="J85" s="5" t="inlineStr">
        <is>
          <t>Not Run</t>
        </is>
      </c>
      <c r="K85" s="7" t="inlineStr">
        <is>
          <t>Not captured — attach screenshot path or evidence link after execution.</t>
        </is>
      </c>
    </row>
    <row r="86" ht="63" customHeight="1">
      <c r="A86" s="2" t="inlineStr">
        <is>
          <t>ERR-01</t>
        </is>
      </c>
      <c r="B86" s="3" t="inlineStr">
        <is>
          <t>Negative, resilience and input security</t>
        </is>
      </c>
      <c r="C86" s="4" t="inlineStr">
        <is>
          <t>TC-085</t>
        </is>
      </c>
      <c r="D86" s="3" t="inlineStr">
        <is>
          <t>P1</t>
        </is>
      </c>
      <c r="E86" s="3" t="inlineStr">
        <is>
          <t>Malformed CSV parse</t>
        </is>
      </c>
      <c r="F86" s="3" t="inlineStr">
        <is>
          <t>Invalid CSV bytes/content.</t>
        </is>
      </c>
      <c r="G86" s="3" t="inlineStr">
        <is>
          <t>POST preview and compare.</t>
        </is>
      </c>
      <c r="H86" s="3" t="inlineStr">
        <is>
          <t>Controlled 400/422 response; process remains available.</t>
        </is>
      </c>
      <c r="I86" s="3" t="inlineStr">
        <is>
          <t>Not executed — record observed result during execution.</t>
        </is>
      </c>
      <c r="J86" s="5" t="inlineStr">
        <is>
          <t>Not Run</t>
        </is>
      </c>
      <c r="K86" s="3" t="inlineStr">
        <is>
          <t>Not captured — attach screenshot path or evidence link after execution.</t>
        </is>
      </c>
    </row>
    <row r="87" ht="63" customHeight="1">
      <c r="A87" s="6" t="inlineStr">
        <is>
          <t>ERR-01</t>
        </is>
      </c>
      <c r="B87" s="7" t="inlineStr">
        <is>
          <t>Negative, resilience and input security</t>
        </is>
      </c>
      <c r="C87" s="8" t="inlineStr">
        <is>
          <t>TC-086</t>
        </is>
      </c>
      <c r="D87" s="7" t="inlineStr">
        <is>
          <t>P1</t>
        </is>
      </c>
      <c r="E87" s="7" t="inlineStr">
        <is>
          <t>Corrupt Excel parse</t>
        </is>
      </c>
      <c r="F87" s="7" t="inlineStr">
        <is>
          <t>Invalid workbook bytes with .xlsx extension.</t>
        </is>
      </c>
      <c r="G87" s="7" t="inlineStr">
        <is>
          <t>POST preview.</t>
        </is>
      </c>
      <c r="H87" s="7" t="inlineStr">
        <is>
          <t>Controlled 422 response; no internal traceback disclosed.</t>
        </is>
      </c>
      <c r="I87" s="7" t="inlineStr">
        <is>
          <t>Not executed — record observed result during execution.</t>
        </is>
      </c>
      <c r="J87" s="5" t="inlineStr">
        <is>
          <t>Not Run</t>
        </is>
      </c>
      <c r="K87" s="7" t="inlineStr">
        <is>
          <t>Not captured — attach screenshot path or evidence link after execution.</t>
        </is>
      </c>
    </row>
    <row r="88" ht="63" customHeight="1">
      <c r="A88" s="2" t="inlineStr">
        <is>
          <t>ERR-01</t>
        </is>
      </c>
      <c r="B88" s="3" t="inlineStr">
        <is>
          <t>Negative, resilience and input security</t>
        </is>
      </c>
      <c r="C88" s="4" t="inlineStr">
        <is>
          <t>TC-087</t>
        </is>
      </c>
      <c r="D88" s="3" t="inlineStr">
        <is>
          <t>P1</t>
        </is>
      </c>
      <c r="E88" s="3" t="inlineStr">
        <is>
          <t>Missing key column</t>
        </is>
      </c>
      <c r="F88" s="3" t="inlineStr">
        <is>
          <t>Files do not share selected key.</t>
        </is>
      </c>
      <c r="G88" s="3" t="inlineStr">
        <is>
          <t>Compare through UI/API.</t>
        </is>
      </c>
      <c r="H88" s="3" t="inlineStr">
        <is>
          <t>Error identifies which input is missing the key.</t>
        </is>
      </c>
      <c r="I88" s="3" t="inlineStr">
        <is>
          <t>Not executed — record observed result during execution.</t>
        </is>
      </c>
      <c r="J88" s="5" t="inlineStr">
        <is>
          <t>Not Run</t>
        </is>
      </c>
      <c r="K88" s="3" t="inlineStr">
        <is>
          <t>Not captured — attach screenshot path or evidence link after execution.</t>
        </is>
      </c>
    </row>
    <row r="89" ht="63" customHeight="1">
      <c r="A89" s="6" t="inlineStr">
        <is>
          <t>ERR-01</t>
        </is>
      </c>
      <c r="B89" s="7" t="inlineStr">
        <is>
          <t>Negative, resilience and input security</t>
        </is>
      </c>
      <c r="C89" s="8" t="inlineStr">
        <is>
          <t>TC-088</t>
        </is>
      </c>
      <c r="D89" s="7" t="inlineStr">
        <is>
          <t>P1</t>
        </is>
      </c>
      <c r="E89" s="7" t="inlineStr">
        <is>
          <t>API unavailable on preview</t>
        </is>
      </c>
      <c r="F89" s="7" t="inlineStr">
        <is>
          <t>Stop or block API.</t>
        </is>
      </c>
      <c r="G89" s="7" t="inlineStr">
        <is>
          <t>Upload in frontend.</t>
        </is>
      </c>
      <c r="H89" s="7" t="inlineStr">
        <is>
          <t>Error toast appears; file is not falsely marked ready.</t>
        </is>
      </c>
      <c r="I89" s="7" t="inlineStr">
        <is>
          <t>Not executed — record observed result during execution.</t>
        </is>
      </c>
      <c r="J89" s="5" t="inlineStr">
        <is>
          <t>Not Run</t>
        </is>
      </c>
      <c r="K89" s="7" t="inlineStr">
        <is>
          <t>Not captured — attach screenshot path or evidence link after execution.</t>
        </is>
      </c>
    </row>
    <row r="90" ht="63" customHeight="1">
      <c r="A90" s="2" t="inlineStr">
        <is>
          <t>ERR-01</t>
        </is>
      </c>
      <c r="B90" s="3" t="inlineStr">
        <is>
          <t>Negative, resilience and input security</t>
        </is>
      </c>
      <c r="C90" s="4" t="inlineStr">
        <is>
          <t>TC-089</t>
        </is>
      </c>
      <c r="D90" s="3" t="inlineStr">
        <is>
          <t>P1</t>
        </is>
      </c>
      <c r="E90" s="3" t="inlineStr">
        <is>
          <t>API unavailable on compare</t>
        </is>
      </c>
      <c r="F90" s="3" t="inlineStr">
        <is>
          <t>Files previewed; stop API.</t>
        </is>
      </c>
      <c r="G90" s="3" t="inlineStr">
        <is>
          <t>Run comparison.</t>
        </is>
      </c>
      <c r="H90" s="3" t="inlineStr">
        <is>
          <t>Error shown; no new success metrics or false results.</t>
        </is>
      </c>
      <c r="I90" s="3" t="inlineStr">
        <is>
          <t>Not executed — record observed result during execution.</t>
        </is>
      </c>
      <c r="J90" s="5" t="inlineStr">
        <is>
          <t>Not Run</t>
        </is>
      </c>
      <c r="K90" s="3" t="inlineStr">
        <is>
          <t>Not captured — attach screenshot path or evidence link after execution.</t>
        </is>
      </c>
    </row>
    <row r="91" ht="63" customHeight="1">
      <c r="A91" s="6" t="inlineStr">
        <is>
          <t>ERR-01</t>
        </is>
      </c>
      <c r="B91" s="7" t="inlineStr">
        <is>
          <t>Negative, resilience and input security</t>
        </is>
      </c>
      <c r="C91" s="8" t="inlineStr">
        <is>
          <t>TC-090</t>
        </is>
      </c>
      <c r="D91" s="7" t="inlineStr">
        <is>
          <t>P2</t>
        </is>
      </c>
      <c r="E91" s="7" t="inlineStr">
        <is>
          <t>Unsupported report path injection</t>
        </is>
      </c>
      <c r="F91" s="7" t="inlineStr">
        <is>
          <t>Valid run ID.</t>
        </is>
      </c>
      <c r="G91" s="7" t="inlineStr">
        <is>
          <t>Request malformed format/path characters.</t>
        </is>
      </c>
      <c r="H91" s="7" t="inlineStr">
        <is>
          <t>Only allowlisted formats accepted; no path access or unhandled exception.</t>
        </is>
      </c>
      <c r="I91" s="7" t="inlineStr">
        <is>
          <t>Not executed — record observed result during execution.</t>
        </is>
      </c>
      <c r="J91" s="5" t="inlineStr">
        <is>
          <t>Not Run</t>
        </is>
      </c>
      <c r="K91" s="7" t="inlineStr">
        <is>
          <t>Not captured — attach screenshot path or evidence link after execution.</t>
        </is>
      </c>
    </row>
    <row r="92" ht="63" customHeight="1">
      <c r="A92" s="2" t="inlineStr">
        <is>
          <t>ERR-01</t>
        </is>
      </c>
      <c r="B92" s="3" t="inlineStr">
        <is>
          <t>Negative, resilience and input security</t>
        </is>
      </c>
      <c r="C92" s="4" t="inlineStr">
        <is>
          <t>TC-091</t>
        </is>
      </c>
      <c r="D92" s="3" t="inlineStr">
        <is>
          <t>P2</t>
        </is>
      </c>
      <c r="E92" s="3" t="inlineStr">
        <is>
          <t>Search regex metacharacters literally</t>
        </is>
      </c>
      <c r="F92" s="3" t="inlineStr">
        <is>
          <t>Comparison results available.</t>
        </is>
      </c>
      <c r="G92" s="3" t="inlineStr">
        <is>
          <t>Search for .* or [abc.</t>
        </is>
      </c>
      <c r="H92" s="3" t="inlineStr">
        <is>
          <t>Literal search handled safely without regex error.</t>
        </is>
      </c>
      <c r="I92" s="3" t="inlineStr">
        <is>
          <t>Not executed — record observed result during execution.</t>
        </is>
      </c>
      <c r="J92" s="5" t="inlineStr">
        <is>
          <t>Not Run</t>
        </is>
      </c>
      <c r="K92" s="3" t="inlineStr">
        <is>
          <t>Not captured — attach screenshot path or evidence link after execution.</t>
        </is>
      </c>
    </row>
    <row r="93" ht="63" customHeight="1">
      <c r="A93" s="6" t="inlineStr">
        <is>
          <t>PERF-01</t>
        </is>
      </c>
      <c r="B93" s="7" t="inlineStr">
        <is>
          <t>Performance, capacity and reliability</t>
        </is>
      </c>
      <c r="C93" s="8" t="inlineStr">
        <is>
          <t>TC-092</t>
        </is>
      </c>
      <c r="D93" s="7" t="inlineStr">
        <is>
          <t>P1</t>
        </is>
      </c>
      <c r="E93" s="7" t="inlineStr">
        <is>
          <t>Compare 100k matching rows</t>
        </is>
      </c>
      <c r="F93" s="7" t="inlineStr">
        <is>
          <t>Prepare 100,000 unique matching rows; record hardware.</t>
        </is>
      </c>
      <c r="G93" s="7" t="inlineStr">
        <is>
          <t>Compare and record elapsed time, memory, response size.</t>
        </is>
      </c>
      <c r="H93" s="7" t="inlineStr">
        <is>
          <t>Completes without crash/timeout; exact summary; record against agreed SLA.</t>
        </is>
      </c>
      <c r="I93" s="7" t="inlineStr">
        <is>
          <t>Not executed — record observed result during execution.</t>
        </is>
      </c>
      <c r="J93" s="5" t="inlineStr">
        <is>
          <t>Not Run</t>
        </is>
      </c>
      <c r="K93" s="7" t="inlineStr">
        <is>
          <t>Not captured — attach screenshot path or evidence link after execution.</t>
        </is>
      </c>
    </row>
    <row r="94" ht="63" customHeight="1">
      <c r="A94" s="2" t="inlineStr">
        <is>
          <t>PERF-01</t>
        </is>
      </c>
      <c r="B94" s="3" t="inlineStr">
        <is>
          <t>Performance, capacity and reliability</t>
        </is>
      </c>
      <c r="C94" s="4" t="inlineStr">
        <is>
          <t>TC-093</t>
        </is>
      </c>
      <c r="D94" s="3" t="inlineStr">
        <is>
          <t>P1</t>
        </is>
      </c>
      <c r="E94" s="3" t="inlineStr">
        <is>
          <t>Compare 100k sparse differences</t>
        </is>
      </c>
      <c r="F94" s="3" t="inlineStr">
        <is>
          <t>100k rows with known injected mismatches/missing keys.</t>
        </is>
      </c>
      <c r="G94" s="3" t="inlineStr">
        <is>
          <t>Compare and validate summary and result pagination.</t>
        </is>
      </c>
      <c r="H94" s="3" t="inlineStr">
        <is>
          <t>All counts/pages match injected differences; service remains responsive.</t>
        </is>
      </c>
      <c r="I94" s="3" t="inlineStr">
        <is>
          <t>Not executed — record observed result during execution.</t>
        </is>
      </c>
      <c r="J94" s="5" t="inlineStr">
        <is>
          <t>Not Run</t>
        </is>
      </c>
      <c r="K94" s="3" t="inlineStr">
        <is>
          <t>Not captured — attach screenshot path or evidence link after execution.</t>
        </is>
      </c>
    </row>
    <row r="95" ht="63" customHeight="1">
      <c r="A95" s="6" t="inlineStr">
        <is>
          <t>PERF-01</t>
        </is>
      </c>
      <c r="B95" s="7" t="inlineStr">
        <is>
          <t>Performance, capacity and reliability</t>
        </is>
      </c>
      <c r="C95" s="8" t="inlineStr">
        <is>
          <t>TC-094</t>
        </is>
      </c>
      <c r="D95" s="7" t="inlineStr">
        <is>
          <t>P1</t>
        </is>
      </c>
      <c r="E95" s="7" t="inlineStr">
        <is>
          <t>Preview large file within limit</t>
        </is>
      </c>
      <c r="F95" s="7" t="inlineStr">
        <is>
          <t>Large file less than 100 MB.</t>
        </is>
      </c>
      <c r="G95" s="7" t="inlineStr">
        <is>
          <t>Upload to preview and measure time/memory.</t>
        </is>
      </c>
      <c r="H95" s="7" t="inlineStr">
        <is>
          <t>Only ten preview rows returned; full count correct; no timeout or memory breach.</t>
        </is>
      </c>
      <c r="I95" s="7" t="inlineStr">
        <is>
          <t>Not executed — record observed result during execution.</t>
        </is>
      </c>
      <c r="J95" s="5" t="inlineStr">
        <is>
          <t>Not Run</t>
        </is>
      </c>
      <c r="K95" s="7" t="inlineStr">
        <is>
          <t>Not captured — attach screenshot path or evidence link after execution.</t>
        </is>
      </c>
    </row>
    <row r="96" ht="63" customHeight="1">
      <c r="A96" s="2" t="inlineStr">
        <is>
          <t>PERF-01</t>
        </is>
      </c>
      <c r="B96" s="3" t="inlineStr">
        <is>
          <t>Performance, capacity and reliability</t>
        </is>
      </c>
      <c r="C96" s="4" t="inlineStr">
        <is>
          <t>TC-095</t>
        </is>
      </c>
      <c r="D96" s="3" t="inlineStr">
        <is>
          <t>P2</t>
        </is>
      </c>
      <c r="E96" s="3" t="inlineStr">
        <is>
          <t>Evict old runs</t>
        </is>
      </c>
      <c r="F96" s="3" t="inlineStr">
        <is>
          <t>Create more than three comparisons.</t>
        </is>
      </c>
      <c r="G96" s="3" t="inlineStr">
        <is>
          <t>Request oldest and newest IDs.</t>
        </is>
      </c>
      <c r="H96" s="3" t="inlineStr">
        <is>
          <t>Oldest evicted with 404; newest remain available; bounded retention works.</t>
        </is>
      </c>
      <c r="I96" s="3" t="inlineStr">
        <is>
          <t>Not executed — record observed result during execution.</t>
        </is>
      </c>
      <c r="J96" s="5" t="inlineStr">
        <is>
          <t>Not Run</t>
        </is>
      </c>
      <c r="K96" s="3" t="inlineStr">
        <is>
          <t>Not captured — attach screenshot path or evidence link after execution.</t>
        </is>
      </c>
    </row>
    <row r="97" ht="63" customHeight="1">
      <c r="A97" s="6" t="inlineStr">
        <is>
          <t>PERF-01</t>
        </is>
      </c>
      <c r="B97" s="7" t="inlineStr">
        <is>
          <t>Performance, capacity and reliability</t>
        </is>
      </c>
      <c r="C97" s="8" t="inlineStr">
        <is>
          <t>TC-096</t>
        </is>
      </c>
      <c r="D97" s="7" t="inlineStr">
        <is>
          <t>P2</t>
        </is>
      </c>
      <c r="E97" s="7" t="inlineStr">
        <is>
          <t>Concurrent isolated requests</t>
        </is>
      </c>
      <c r="F97" s="7" t="inlineStr">
        <is>
          <t>Prepare distinct input pairs.</t>
        </is>
      </c>
      <c r="G97" s="7" t="inlineStr">
        <is>
          <t>Issue concurrent preview/compare requests.</t>
        </is>
      </c>
      <c r="H97" s="7" t="inlineStr">
        <is>
          <t>Each response corresponds to correct pair; no temp/report cross-contamination or 500.</t>
        </is>
      </c>
      <c r="I97" s="7" t="inlineStr">
        <is>
          <t>Not executed — record observed result during execution.</t>
        </is>
      </c>
      <c r="J97" s="5" t="inlineStr">
        <is>
          <t>Not Run</t>
        </is>
      </c>
      <c r="K97" s="7" t="inlineStr">
        <is>
          <t>Not captured — attach screenshot path or evidence link after execution.</t>
        </is>
      </c>
    </row>
    <row r="98" ht="63" customHeight="1">
      <c r="A98" s="2" t="inlineStr">
        <is>
          <t>PERF-01</t>
        </is>
      </c>
      <c r="B98" s="3" t="inlineStr">
        <is>
          <t>Performance, capacity and reliability</t>
        </is>
      </c>
      <c r="C98" s="4" t="inlineStr">
        <is>
          <t>TC-097</t>
        </is>
      </c>
      <c r="D98" s="3" t="inlineStr">
        <is>
          <t>P2</t>
        </is>
      </c>
      <c r="E98" s="3" t="inlineStr">
        <is>
          <t>Loading and upload progress</t>
        </is>
      </c>
      <c r="F98" s="3" t="inlineStr">
        <is>
          <t>Use a safe large test file.</t>
        </is>
      </c>
      <c r="G98" s="3" t="inlineStr">
        <is>
          <t>Run comparison and observe busy/progress feedback.</t>
        </is>
      </c>
      <c r="H98" s="3" t="inlineStr">
        <is>
          <t>Button indicates busy; upload progress appears where available; success/error is visible.</t>
        </is>
      </c>
      <c r="I98" s="3" t="inlineStr">
        <is>
          <t>Not executed — record observed result during execution.</t>
        </is>
      </c>
      <c r="J98" s="5" t="inlineStr">
        <is>
          <t>Not Run</t>
        </is>
      </c>
      <c r="K98" s="3" t="inlineStr">
        <is>
          <t>Not captured — attach screenshot path or evidence link after execution.</t>
        </is>
      </c>
    </row>
    <row r="99" ht="63" customHeight="1">
      <c r="A99" s="6" t="inlineStr">
        <is>
          <t>A11Y-01</t>
        </is>
      </c>
      <c r="B99" s="7" t="inlineStr">
        <is>
          <t>Accessibility and usability</t>
        </is>
      </c>
      <c r="C99" s="8" t="inlineStr">
        <is>
          <t>TC-098</t>
        </is>
      </c>
      <c r="D99" s="7" t="inlineStr">
        <is>
          <t>P2</t>
        </is>
      </c>
      <c r="E99" s="7" t="inlineStr">
        <is>
          <t>Keyboard operate main flow</t>
        </is>
      </c>
      <c r="F99" s="7" t="inlineStr">
        <is>
          <t>Use keyboard only.</t>
        </is>
      </c>
      <c r="G99" s="7" t="inlineStr">
        <is>
          <t>Navigate upload, key selection, options, compare and results.</t>
        </is>
      </c>
      <c r="H99" s="7" t="inlineStr">
        <is>
          <t>Primary controls are operable with visible focus; no keyboard trap.</t>
        </is>
      </c>
      <c r="I99" s="7" t="inlineStr">
        <is>
          <t>Not executed — record observed result during execution.</t>
        </is>
      </c>
      <c r="J99" s="5" t="inlineStr">
        <is>
          <t>Not Run</t>
        </is>
      </c>
      <c r="K99" s="7" t="inlineStr">
        <is>
          <t>Not captured — attach screenshot path or evidence link after execution.</t>
        </is>
      </c>
    </row>
    <row r="100" ht="63" customHeight="1">
      <c r="A100" s="2" t="inlineStr">
        <is>
          <t>A11Y-01</t>
        </is>
      </c>
      <c r="B100" s="3" t="inlineStr">
        <is>
          <t>Accessibility and usability</t>
        </is>
      </c>
      <c r="C100" s="4" t="inlineStr">
        <is>
          <t>TC-099</t>
        </is>
      </c>
      <c r="D100" s="3" t="inlineStr">
        <is>
          <t>P2</t>
        </is>
      </c>
      <c r="E100" s="3" t="inlineStr">
        <is>
          <t>Inspect accessible names</t>
        </is>
      </c>
      <c r="F100" s="3" t="inlineStr">
        <is>
          <t>Accessibility tree or screen reader available.</t>
        </is>
      </c>
      <c r="G100" s="3" t="inlineStr">
        <is>
          <t>Inspect upload, theme, filters, settings, selection and tables.</t>
        </is>
      </c>
      <c r="H100" s="3" t="inlineStr">
        <is>
          <t>Controls have meaningful names; table headers and statuses are announced.</t>
        </is>
      </c>
      <c r="I100" s="3" t="inlineStr">
        <is>
          <t>Not executed — record observed result during execution.</t>
        </is>
      </c>
      <c r="J100" s="5" t="inlineStr">
        <is>
          <t>Not Run</t>
        </is>
      </c>
      <c r="K100" s="3" t="inlineStr">
        <is>
          <t>Not captured — attach screenshot path or evidence link after execution.</t>
        </is>
      </c>
    </row>
    <row r="101" ht="63" customHeight="1">
      <c r="A101" s="6" t="inlineStr">
        <is>
          <t>A11Y-01</t>
        </is>
      </c>
      <c r="B101" s="7" t="inlineStr">
        <is>
          <t>Accessibility and usability</t>
        </is>
      </c>
      <c r="C101" s="8" t="inlineStr">
        <is>
          <t>TC-100</t>
        </is>
      </c>
      <c r="D101" s="7" t="inlineStr">
        <is>
          <t>P2</t>
        </is>
      </c>
      <c r="E101" s="7" t="inlineStr">
        <is>
          <t>Check contrast in both themes</t>
        </is>
      </c>
      <c r="F101" s="7" t="inlineStr">
        <is>
          <t>Contrast checker available.</t>
        </is>
      </c>
      <c r="G101" s="7" t="inlineStr">
        <is>
          <t>Check text, focus, tags and chart legend light/dark.</t>
        </is>
      </c>
      <c r="H101" s="7" t="inlineStr">
        <is>
          <t>Applicable text meets WCAG AA; status is not communicated by color alone.</t>
        </is>
      </c>
      <c r="I101" s="7" t="inlineStr">
        <is>
          <t>Not executed — record observed result during execution.</t>
        </is>
      </c>
      <c r="J101" s="5" t="inlineStr">
        <is>
          <t>Not Run</t>
        </is>
      </c>
      <c r="K101" s="7" t="inlineStr">
        <is>
          <t>Not captured — attach screenshot path or evidence link after execution.</t>
        </is>
      </c>
    </row>
    <row r="102" ht="63" customHeight="1">
      <c r="A102" s="2" t="inlineStr">
        <is>
          <t>A11Y-01</t>
        </is>
      </c>
      <c r="B102" s="3" t="inlineStr">
        <is>
          <t>Accessibility and usability</t>
        </is>
      </c>
      <c r="C102" s="4" t="inlineStr">
        <is>
          <t>TC-101</t>
        </is>
      </c>
      <c r="D102" s="3" t="inlineStr">
        <is>
          <t>P2</t>
        </is>
      </c>
      <c r="E102" s="3" t="inlineStr">
        <is>
          <t>Check success/error announcements</t>
        </is>
      </c>
      <c r="F102" s="3" t="inlineStr">
        <is>
          <t>Can trigger validation and API outcomes.</t>
        </is>
      </c>
      <c r="G102" s="3" t="inlineStr">
        <is>
          <t>Observe toasts for upload error, compare success and report error.</t>
        </is>
      </c>
      <c r="H102" s="3" t="inlineStr">
        <is>
          <t>Feedback is timely, understandable, dismissible and accessibly announced.</t>
        </is>
      </c>
      <c r="I102" s="3" t="inlineStr">
        <is>
          <t>Not executed — record observed result during execution.</t>
        </is>
      </c>
      <c r="J102" s="5" t="inlineStr">
        <is>
          <t>Not Run</t>
        </is>
      </c>
      <c r="K102" s="3" t="inlineStr">
        <is>
          <t>Not captured — attach screenshot path or evidence link after execution.</t>
        </is>
      </c>
    </row>
    <row r="103" ht="63" customHeight="1">
      <c r="A103" s="6" t="inlineStr">
        <is>
          <t>A11Y-01</t>
        </is>
      </c>
      <c r="B103" s="7" t="inlineStr">
        <is>
          <t>Accessibility and usability</t>
        </is>
      </c>
      <c r="C103" s="8" t="inlineStr">
        <is>
          <t>TC-102</t>
        </is>
      </c>
      <c r="D103" s="7" t="inlineStr">
        <is>
          <t>P3</t>
        </is>
      </c>
      <c r="E103" s="7" t="inlineStr">
        <is>
          <t>Operate tables on mobile</t>
        </is>
      </c>
      <c r="F103" s="7" t="inlineStr">
        <is>
          <t>Use 390px viewport.</t>
        </is>
      </c>
      <c r="G103" s="7" t="inlineStr">
        <is>
          <t>Filter, scroll horizontally and paginate tables.</t>
        </is>
      </c>
      <c r="H103" s="7" t="inlineStr">
        <is>
          <t>Values and controls remain reachable without layout breakage.</t>
        </is>
      </c>
      <c r="I103" s="7" t="inlineStr">
        <is>
          <t>Not executed — record observed result during execution.</t>
        </is>
      </c>
      <c r="J103" s="5" t="inlineStr">
        <is>
          <t>Not Run</t>
        </is>
      </c>
      <c r="K103" s="7" t="inlineStr">
        <is>
          <t>Not captured — attach screenshot path or evidence link after execution.</t>
        </is>
      </c>
    </row>
    <row r="104" ht="63" customHeight="1">
      <c r="A104" s="2" t="inlineStr">
        <is>
          <t>COMPAT-01</t>
        </is>
      </c>
      <c r="B104" s="3" t="inlineStr">
        <is>
          <t>Browser compatibility and session lifecycle</t>
        </is>
      </c>
      <c r="C104" s="4" t="inlineStr">
        <is>
          <t>TC-103</t>
        </is>
      </c>
      <c r="D104" s="3" t="inlineStr">
        <is>
          <t>P2</t>
        </is>
      </c>
      <c r="E104" s="3" t="inlineStr">
        <is>
          <t>Chromium browser smoke test</t>
        </is>
      </c>
      <c r="F104" s="3" t="inlineStr">
        <is>
          <t>Current Chrome/Edge.</t>
        </is>
      </c>
      <c r="G104" s="3" t="inlineStr">
        <is>
          <t>Run upload, preview, compare, filter and export flow.</t>
        </is>
      </c>
      <c r="H104" s="3" t="inlineStr">
        <is>
          <t>Core flow works without browser-specific errors.</t>
        </is>
      </c>
      <c r="I104" s="3" t="inlineStr">
        <is>
          <t>Not executed — record observed result during execution.</t>
        </is>
      </c>
      <c r="J104" s="5" t="inlineStr">
        <is>
          <t>Not Run</t>
        </is>
      </c>
      <c r="K104" s="3" t="inlineStr">
        <is>
          <t>Not captured — attach screenshot path or evidence link after execution.</t>
        </is>
      </c>
    </row>
    <row r="105" ht="63" customHeight="1">
      <c r="A105" s="6" t="inlineStr">
        <is>
          <t>COMPAT-01</t>
        </is>
      </c>
      <c r="B105" s="7" t="inlineStr">
        <is>
          <t>Browser compatibility and session lifecycle</t>
        </is>
      </c>
      <c r="C105" s="8" t="inlineStr">
        <is>
          <t>TC-104</t>
        </is>
      </c>
      <c r="D105" s="7" t="inlineStr">
        <is>
          <t>P2</t>
        </is>
      </c>
      <c r="E105" s="7" t="inlineStr">
        <is>
          <t>Firefox browser smoke test</t>
        </is>
      </c>
      <c r="F105" s="7" t="inlineStr">
        <is>
          <t>Current Firefox.</t>
        </is>
      </c>
      <c r="G105" s="7" t="inlineStr">
        <is>
          <t>Run the same core flow.</t>
        </is>
      </c>
      <c r="H105" s="7" t="inlineStr">
        <is>
          <t>Core flow works or limitation is logged.</t>
        </is>
      </c>
      <c r="I105" s="7" t="inlineStr">
        <is>
          <t>Not executed — record observed result during execution.</t>
        </is>
      </c>
      <c r="J105" s="5" t="inlineStr">
        <is>
          <t>Not Run</t>
        </is>
      </c>
      <c r="K105" s="7" t="inlineStr">
        <is>
          <t>Not captured — attach screenshot path or evidence link after execution.</t>
        </is>
      </c>
    </row>
    <row r="106" ht="63" customHeight="1">
      <c r="A106" s="2" t="inlineStr">
        <is>
          <t>COMPAT-01</t>
        </is>
      </c>
      <c r="B106" s="3" t="inlineStr">
        <is>
          <t>Browser compatibility and session lifecycle</t>
        </is>
      </c>
      <c r="C106" s="4" t="inlineStr">
        <is>
          <t>TC-105</t>
        </is>
      </c>
      <c r="D106" s="3" t="inlineStr">
        <is>
          <t>P2</t>
        </is>
      </c>
      <c r="E106" s="3" t="inlineStr">
        <is>
          <t>Reload idle dashboard</t>
        </is>
      </c>
      <c r="F106" s="3" t="inlineStr">
        <is>
          <t>No active run.</t>
        </is>
      </c>
      <c r="G106" s="3" t="inlineStr">
        <is>
          <t>Refresh /reconciliation.</t>
        </is>
      </c>
      <c r="H106" s="3" t="inlineStr">
        <is>
          <t>Route loads and app starts in a valid state.</t>
        </is>
      </c>
      <c r="I106" s="3" t="inlineStr">
        <is>
          <t>Not executed — record observed result during execution.</t>
        </is>
      </c>
      <c r="J106" s="5" t="inlineStr">
        <is>
          <t>Not Run</t>
        </is>
      </c>
      <c r="K106" s="3" t="inlineStr">
        <is>
          <t>Not captured — attach screenshot path or evidence link after execution.</t>
        </is>
      </c>
    </row>
    <row r="107" ht="63" customHeight="1">
      <c r="A107" s="6" t="inlineStr">
        <is>
          <t>COMPAT-01</t>
        </is>
      </c>
      <c r="B107" s="7" t="inlineStr">
        <is>
          <t>Browser compatibility and session lifecycle</t>
        </is>
      </c>
      <c r="C107" s="8" t="inlineStr">
        <is>
          <t>TC-106</t>
        </is>
      </c>
      <c r="D107" s="7" t="inlineStr">
        <is>
          <t>P2</t>
        </is>
      </c>
      <c r="E107" s="7" t="inlineStr">
        <is>
          <t>Reload after comparison</t>
        </is>
      </c>
      <c r="F107" s="7" t="inlineStr">
        <is>
          <t>Run completed.</t>
        </is>
      </c>
      <c r="G107" s="7" t="inlineStr">
        <is>
          <t>Refresh and inspect session behavior.</t>
        </is>
      </c>
      <c r="H107" s="7" t="inlineStr">
        <is>
          <t>No stale/incorrect results; in-memory non-persistence is clearly understood.</t>
        </is>
      </c>
      <c r="I107" s="7" t="inlineStr">
        <is>
          <t>Not executed — record observed result during execution.</t>
        </is>
      </c>
      <c r="J107" s="5" t="inlineStr">
        <is>
          <t>Not Run</t>
        </is>
      </c>
      <c r="K107" s="7" t="inlineStr">
        <is>
          <t>Not captured — attach screenshot path or evidence link after execution.</t>
        </is>
      </c>
    </row>
    <row r="108" ht="63" customHeight="1">
      <c r="A108" s="2" t="inlineStr">
        <is>
          <t>COMPAT-01</t>
        </is>
      </c>
      <c r="B108" s="3" t="inlineStr">
        <is>
          <t>Browser compatibility and session lifecycle</t>
        </is>
      </c>
      <c r="C108" s="4" t="inlineStr">
        <is>
          <t>TC-107</t>
        </is>
      </c>
      <c r="D108" s="3" t="inlineStr">
        <is>
          <t>P2</t>
        </is>
      </c>
      <c r="E108" s="3" t="inlineStr">
        <is>
          <t>Backend restart clears runs</t>
        </is>
      </c>
      <c r="F108" s="3" t="inlineStr">
        <is>
          <t>Comparison completed; test environment.</t>
        </is>
      </c>
      <c r="G108" s="3" t="inlineStr">
        <is>
          <t>Restart backend; request previous comparison ID.</t>
        </is>
      </c>
      <c r="H108" s="3" t="inlineStr">
        <is>
          <t>Old ID returns 404; no stale run is shown as durable history.</t>
        </is>
      </c>
      <c r="I108" s="3" t="inlineStr">
        <is>
          <t>Not executed — record observed result during execution.</t>
        </is>
      </c>
      <c r="J108" s="5" t="inlineStr">
        <is>
          <t>Not Run</t>
        </is>
      </c>
      <c r="K108" s="3" t="inlineStr">
        <is>
          <t>Not captured — attach screenshot path or evidence link after execution.</t>
        </is>
      </c>
    </row>
  </sheetData>
  <autoFilter ref="A1:K108"/>
  <conditionalFormatting sqref="J2:J108">
    <cfRule type="expression" priority="1" dxfId="0">
      <formula>J2="Pass"</formula>
    </cfRule>
    <cfRule type="expression" priority="2" dxfId="1">
      <formula>J2="Fail"</formula>
    </cfRule>
    <cfRule type="expression" priority="3" dxfId="2">
      <formula>J2="Blocked"</formula>
    </cfRule>
    <cfRule type="expression" priority="4" dxfId="3">
      <formula>J2="Not Applicable"</formula>
    </cfRule>
  </conditionalFormatting>
  <dataValidations count="1">
    <dataValidation sqref="J2:J108" showDropDown="0" showInputMessage="0" showErrorMessage="0" allowBlank="0" error="Select a status from the list." prompt="Update after executing this test case." type="list">
      <formula1>"Not Run,Pass,Fail,Blocked,Not Applicable"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9" t="inlineStr">
        <is>
          <t>Execution Metric</t>
        </is>
      </c>
      <c r="B1" s="9" t="inlineStr">
        <is>
          <t>Count / Value</t>
        </is>
      </c>
    </row>
    <row r="2">
      <c r="A2" s="10" t="inlineStr">
        <is>
          <t>Total test cases</t>
        </is>
      </c>
      <c r="B2" s="10">
        <f>COUNTA('Test Cases'!$C$2:$C$108)</f>
        <v/>
      </c>
    </row>
    <row r="3">
      <c r="A3" s="11" t="inlineStr">
        <is>
          <t>Passed</t>
        </is>
      </c>
      <c r="B3" s="11">
        <f>COUNTIF('Test Cases'!$J$2:$J$108,"Pass")</f>
        <v/>
      </c>
    </row>
    <row r="4">
      <c r="A4" s="10" t="inlineStr">
        <is>
          <t>Failed</t>
        </is>
      </c>
      <c r="B4" s="10">
        <f>COUNTIF('Test Cases'!$J$2:$J$108,"Fail")</f>
        <v/>
      </c>
    </row>
    <row r="5">
      <c r="A5" s="11" t="inlineStr">
        <is>
          <t>Blocked</t>
        </is>
      </c>
      <c r="B5" s="11">
        <f>COUNTIF('Test Cases'!$J$2:$J$108,"Blocked")</f>
        <v/>
      </c>
    </row>
    <row r="6">
      <c r="A6" s="10" t="inlineStr">
        <is>
          <t>Not run</t>
        </is>
      </c>
      <c r="B6" s="10">
        <f>COUNTIF('Test Cases'!$J$2:$J$108,"Not Run")</f>
        <v/>
      </c>
    </row>
    <row r="7">
      <c r="A7" s="11" t="inlineStr">
        <is>
          <t>Not applicable</t>
        </is>
      </c>
      <c r="B7" s="11">
        <f>COUNTIF('Test Cases'!$J$2:$J$108,"Not Applicable")</f>
        <v/>
      </c>
    </row>
    <row r="8">
      <c r="A8" s="10" t="inlineStr">
        <is>
          <t>Execution progress</t>
        </is>
      </c>
      <c r="B8" s="12">
        <f>IFERROR((B2-B6)/B2,0)</f>
        <v/>
      </c>
    </row>
    <row r="9">
      <c r="A9" s="11" t="inlineStr">
        <is>
          <t>Pass rate (executed only)</t>
        </is>
      </c>
      <c r="B9" s="13">
        <f>IFERROR(B3/(B3+B4),0)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72" customWidth="1" min="3" max="3"/>
    <col width="18" customWidth="1" min="4" max="4"/>
    <col width="85" customWidth="1" min="5" max="5"/>
    <col width="18" customWidth="1" min="6" max="6"/>
  </cols>
  <sheetData>
    <row r="1">
      <c r="A1" s="14" t="inlineStr">
        <is>
          <t>Scenario ID</t>
        </is>
      </c>
      <c r="B1" s="14" t="inlineStr">
        <is>
          <t>Scenario Group</t>
        </is>
      </c>
      <c r="C1" s="14" t="inlineStr">
        <is>
          <t>Coverage Objective</t>
        </is>
      </c>
      <c r="D1" s="14" t="inlineStr">
        <is>
          <t>Test Case Count</t>
        </is>
      </c>
      <c r="E1" s="14" t="inlineStr">
        <is>
          <t>Test Case IDs</t>
        </is>
      </c>
      <c r="F1" s="14" t="inlineStr">
        <is>
          <t>Execution Status</t>
        </is>
      </c>
    </row>
    <row r="2">
      <c r="A2" s="3" t="inlineStr">
        <is>
          <t>ENV-01</t>
        </is>
      </c>
      <c r="B2" s="3" t="inlineStr">
        <is>
          <t>Environment and application launch</t>
        </is>
      </c>
      <c r="C2" s="3" t="inlineStr">
        <is>
          <t>Verify frontend/API availability, configuration and direct routing.</t>
        </is>
      </c>
      <c r="D2" s="3" t="n">
        <v>5</v>
      </c>
      <c r="E2" s="3" t="inlineStr">
        <is>
          <t>TC-001, TC-002, TC-003, TC-004, TC-005</t>
        </is>
      </c>
      <c r="F2" s="3">
        <f>IF(COUNTIFS('Test Cases'!$A$2:$A$108,A2,'Test Cases'!$J$2:$J$108,"Fail")&gt;0,"Fail",IF(COUNTIFS('Test Cases'!$A$2:$A$108,A2,'Test Cases'!$J$2:$J$108,"Blocked")&gt;0,"Blocked",IF(COUNTIFS('Test Cases'!$A$2:$A$108,A2,'Test Cases'!$J$2:$J$108,"Not Run")&gt;0,"Not Run",IF(COUNTIFS('Test Cases'!$A$2:$A$108,A2,'Test Cases'!$J$2:$J$108,"Pass")&gt;0,"Pass","Not Applicable"))))</f>
        <v/>
      </c>
    </row>
    <row r="3">
      <c r="A3" s="7" t="inlineStr">
        <is>
          <t>UI-01</t>
        </is>
      </c>
      <c r="B3" s="7" t="inlineStr">
        <is>
          <t>Navigation, theme and responsive layout</t>
        </is>
      </c>
      <c r="C3" s="7" t="inlineStr">
        <is>
          <t>Check dashboard shell, navigation and responsive usability.</t>
        </is>
      </c>
      <c r="D3" s="7" t="n">
        <v>6</v>
      </c>
      <c r="E3" s="7" t="inlineStr">
        <is>
          <t>TC-006, TC-007, TC-008, TC-009, TC-010, TC-011</t>
        </is>
      </c>
      <c r="F3" s="7">
        <f>IF(COUNTIFS('Test Cases'!$A$2:$A$108,A3,'Test Cases'!$J$2:$J$108,"Fail")&gt;0,"Fail",IF(COUNTIFS('Test Cases'!$A$2:$A$108,A3,'Test Cases'!$J$2:$J$108,"Blocked")&gt;0,"Blocked",IF(COUNTIFS('Test Cases'!$A$2:$A$108,A3,'Test Cases'!$J$2:$J$108,"Not Run")&gt;0,"Not Run",IF(COUNTIFS('Test Cases'!$A$2:$A$108,A3,'Test Cases'!$J$2:$J$108,"Pass")&gt;0,"Pass","Not Applicable"))))</f>
        <v/>
      </c>
    </row>
    <row r="4">
      <c r="A4" s="3" t="inlineStr">
        <is>
          <t>UPL-01</t>
        </is>
      </c>
      <c r="B4" s="3" t="inlineStr">
        <is>
          <t>Upload and file validation</t>
        </is>
      </c>
      <c r="C4" s="3" t="inlineStr">
        <is>
          <t>Cover supported types, file details, replacement, rejection and upload limits.</t>
        </is>
      </c>
      <c r="D4" s="3" t="n">
        <v>11</v>
      </c>
      <c r="E4" s="3" t="inlineStr">
        <is>
          <t>TC-012, TC-013, TC-014, TC-015, TC-016, TC-017, TC-018, TC-019, TC-020, TC-021, TC-022</t>
        </is>
      </c>
      <c r="F4" s="3">
        <f>IF(COUNTIFS('Test Cases'!$A$2:$A$108,A4,'Test Cases'!$J$2:$J$108,"Fail")&gt;0,"Fail",IF(COUNTIFS('Test Cases'!$A$2:$A$108,A4,'Test Cases'!$J$2:$J$108,"Blocked")&gt;0,"Blocked",IF(COUNTIFS('Test Cases'!$A$2:$A$108,A4,'Test Cases'!$J$2:$J$108,"Not Run")&gt;0,"Not Run",IF(COUNTIFS('Test Cases'!$A$2:$A$108,A4,'Test Cases'!$J$2:$J$108,"Pass")&gt;0,"Pass","Not Applicable"))))</f>
        <v/>
      </c>
    </row>
    <row r="5">
      <c r="A5" s="7" t="inlineStr">
        <is>
          <t>PRE-01</t>
        </is>
      </c>
      <c r="B5" s="7" t="inlineStr">
        <is>
          <t>Data preview and inspection</t>
        </is>
      </c>
      <c r="C5" s="7" t="inlineStr">
        <is>
          <t>Verify independent source/target previews, search, sort, paging and null rendering.</t>
        </is>
      </c>
      <c r="D5" s="7" t="n">
        <v>6</v>
      </c>
      <c r="E5" s="7" t="inlineStr">
        <is>
          <t>TC-023, TC-024, TC-025, TC-026, TC-027, TC-028</t>
        </is>
      </c>
      <c r="F5" s="7">
        <f>IF(COUNTIFS('Test Cases'!$A$2:$A$108,A5,'Test Cases'!$J$2:$J$108,"Fail")&gt;0,"Fail",IF(COUNTIFS('Test Cases'!$A$2:$A$108,A5,'Test Cases'!$J$2:$J$108,"Blocked")&gt;0,"Blocked",IF(COUNTIFS('Test Cases'!$A$2:$A$108,A5,'Test Cases'!$J$2:$J$108,"Not Run")&gt;0,"Not Run",IF(COUNTIFS('Test Cases'!$A$2:$A$108,A5,'Test Cases'!$J$2:$J$108,"Pass")&gt;0,"Pass","Not Applicable"))))</f>
        <v/>
      </c>
    </row>
    <row r="6">
      <c r="A6" s="3" t="inlineStr">
        <is>
          <t>CFG-01</t>
        </is>
      </c>
      <c r="B6" s="3" t="inlineStr">
        <is>
          <t>Comparison settings and key selection</t>
        </is>
      </c>
      <c r="C6" s="3" t="inlineStr">
        <is>
          <t>Verify detected shared fields, single/composite keys and normalization switches.</t>
        </is>
      </c>
      <c r="D6" s="3" t="n">
        <v>9</v>
      </c>
      <c r="E6" s="3" t="inlineStr">
        <is>
          <t>TC-029, TC-030, TC-031, TC-032, TC-033, TC-034, TC-035, TC-036, TC-037</t>
        </is>
      </c>
      <c r="F6" s="3">
        <f>IF(COUNTIFS('Test Cases'!$A$2:$A$108,A6,'Test Cases'!$J$2:$J$108,"Fail")&gt;0,"Fail",IF(COUNTIFS('Test Cases'!$A$2:$A$108,A6,'Test Cases'!$J$2:$J$108,"Blocked")&gt;0,"Blocked",IF(COUNTIFS('Test Cases'!$A$2:$A$108,A6,'Test Cases'!$J$2:$J$108,"Not Run")&gt;0,"Not Run",IF(COUNTIFS('Test Cases'!$A$2:$A$108,A6,'Test Cases'!$J$2:$J$108,"Pass")&gt;0,"Pass","Not Applicable"))))</f>
        <v/>
      </c>
    </row>
    <row r="7">
      <c r="A7" s="7" t="inlineStr">
        <is>
          <t>CMP-01</t>
        </is>
      </c>
      <c r="B7" s="7" t="inlineStr">
        <is>
          <t>Reconciliation correctness and summary</t>
        </is>
      </c>
      <c r="C7" s="7" t="inlineStr">
        <is>
          <t>Validate matches, cell differences, missing keys, summary and invalid key data.</t>
        </is>
      </c>
      <c r="D7" s="7" t="n">
        <v>13</v>
      </c>
      <c r="E7" s="7" t="inlineStr">
        <is>
          <t>TC-038, TC-039, TC-040, TC-041, TC-042, TC-043, TC-044, TC-045, TC-046, TC-047, TC-048, TC-049, TC-050</t>
        </is>
      </c>
      <c r="F7" s="7">
        <f>IF(COUNTIFS('Test Cases'!$A$2:$A$108,A7,'Test Cases'!$J$2:$J$108,"Fail")&gt;0,"Fail",IF(COUNTIFS('Test Cases'!$A$2:$A$108,A7,'Test Cases'!$J$2:$J$108,"Blocked")&gt;0,"Blocked",IF(COUNTIFS('Test Cases'!$A$2:$A$108,A7,'Test Cases'!$J$2:$J$108,"Not Run")&gt;0,"Not Run",IF(COUNTIFS('Test Cases'!$A$2:$A$108,A7,'Test Cases'!$J$2:$J$108,"Pass")&gt;0,"Pass","Not Applicable"))))</f>
        <v/>
      </c>
    </row>
    <row r="8">
      <c r="A8" s="3" t="inlineStr">
        <is>
          <t>FIL-01</t>
        </is>
      </c>
      <c r="B8" s="3" t="inlineStr">
        <is>
          <t>Results table filtering and selection</t>
        </is>
      </c>
      <c r="C8" s="3" t="inlineStr">
        <is>
          <t>Validate result columns, filters, sorting, paging and selected-row export.</t>
        </is>
      </c>
      <c r="D8" s="3" t="n">
        <v>9</v>
      </c>
      <c r="E8" s="3" t="inlineStr">
        <is>
          <t>TC-051, TC-052, TC-053, TC-054, TC-055, TC-056, TC-057, TC-058, TC-059</t>
        </is>
      </c>
      <c r="F8" s="3">
        <f>IF(COUNTIFS('Test Cases'!$A$2:$A$108,A8,'Test Cases'!$J$2:$J$108,"Fail")&gt;0,"Fail",IF(COUNTIFS('Test Cases'!$A$2:$A$108,A8,'Test Cases'!$J$2:$J$108,"Blocked")&gt;0,"Blocked",IF(COUNTIFS('Test Cases'!$A$2:$A$108,A8,'Test Cases'!$J$2:$J$108,"Not Run")&gt;0,"Not Run",IF(COUNTIFS('Test Cases'!$A$2:$A$108,A8,'Test Cases'!$J$2:$J$108,"Pass")&gt;0,"Pass","Not Applicable"))))</f>
        <v/>
      </c>
    </row>
    <row r="9">
      <c r="A9" s="7" t="inlineStr">
        <is>
          <t>ANA-01</t>
        </is>
      </c>
      <c r="B9" s="7" t="inlineStr">
        <is>
          <t>KPI and visual analytics</t>
        </is>
      </c>
      <c r="C9" s="7" t="inlineStr">
        <is>
          <t>Validate dashboard metrics and charts against API results.</t>
        </is>
      </c>
      <c r="D9" s="7" t="n">
        <v>4</v>
      </c>
      <c r="E9" s="7" t="inlineStr">
        <is>
          <t>TC-060, TC-061, TC-062, TC-063</t>
        </is>
      </c>
      <c r="F9" s="7">
        <f>IF(COUNTIFS('Test Cases'!$A$2:$A$108,A9,'Test Cases'!$J$2:$J$108,"Fail")&gt;0,"Fail",IF(COUNTIFS('Test Cases'!$A$2:$A$108,A9,'Test Cases'!$J$2:$J$108,"Blocked")&gt;0,"Blocked",IF(COUNTIFS('Test Cases'!$A$2:$A$108,A9,'Test Cases'!$J$2:$J$108,"Not Run")&gt;0,"Not Run",IF(COUNTIFS('Test Cases'!$A$2:$A$108,A9,'Test Cases'!$J$2:$J$108,"Pass")&gt;0,"Pass","Not Applicable"))))</f>
        <v/>
      </c>
    </row>
    <row r="10">
      <c r="A10" s="3" t="inlineStr">
        <is>
          <t>EXP-01</t>
        </is>
      </c>
      <c r="B10" s="3" t="inlineStr">
        <is>
          <t>Report downloads and metadata</t>
        </is>
      </c>
      <c r="C10" s="3" t="inlineStr">
        <is>
          <t>Validate XLSX, CSV, JSON, PDF, report content and invalid export requests.</t>
        </is>
      </c>
      <c r="D10" s="3" t="n">
        <v>9</v>
      </c>
      <c r="E10" s="3" t="inlineStr">
        <is>
          <t>TC-064, TC-065, TC-066, TC-067, TC-068, TC-069, TC-070, TC-071, TC-072</t>
        </is>
      </c>
      <c r="F10" s="3">
        <f>IF(COUNTIFS('Test Cases'!$A$2:$A$108,A10,'Test Cases'!$J$2:$J$108,"Fail")&gt;0,"Fail",IF(COUNTIFS('Test Cases'!$A$2:$A$108,A10,'Test Cases'!$J$2:$J$108,"Blocked")&gt;0,"Blocked",IF(COUNTIFS('Test Cases'!$A$2:$A$108,A10,'Test Cases'!$J$2:$J$108,"Not Run")&gt;0,"Not Run",IF(COUNTIFS('Test Cases'!$A$2:$A$108,A10,'Test Cases'!$J$2:$J$108,"Pass")&gt;0,"Pass","Not Applicable"))))</f>
        <v/>
      </c>
    </row>
    <row r="11">
      <c r="A11" s="7" t="inlineStr">
        <is>
          <t>API-01</t>
        </is>
      </c>
      <c r="B11" s="7" t="inlineStr">
        <is>
          <t>REST API contract and pagination</t>
        </is>
      </c>
      <c r="C11" s="7" t="inlineStr">
        <is>
          <t>Validate endpoint payloads, bounds, errors, and temporary run retention.</t>
        </is>
      </c>
      <c r="D11" s="7" t="n">
        <v>10</v>
      </c>
      <c r="E11" s="7" t="inlineStr">
        <is>
          <t>TC-073, TC-074, TC-075, TC-076, TC-077, TC-078, TC-079, TC-080, TC-081, TC-082</t>
        </is>
      </c>
      <c r="F11" s="7">
        <f>IF(COUNTIFS('Test Cases'!$A$2:$A$108,A11,'Test Cases'!$J$2:$J$108,"Fail")&gt;0,"Fail",IF(COUNTIFS('Test Cases'!$A$2:$A$108,A11,'Test Cases'!$J$2:$J$108,"Blocked")&gt;0,"Blocked",IF(COUNTIFS('Test Cases'!$A$2:$A$108,A11,'Test Cases'!$J$2:$J$108,"Not Run")&gt;0,"Not Run",IF(COUNTIFS('Test Cases'!$A$2:$A$108,A11,'Test Cases'!$J$2:$J$108,"Pass")&gt;0,"Pass","Not Applicable"))))</f>
        <v/>
      </c>
    </row>
    <row r="12">
      <c r="A12" s="3" t="inlineStr">
        <is>
          <t>ERR-01</t>
        </is>
      </c>
      <c r="B12" s="3" t="inlineStr">
        <is>
          <t>Negative, resilience and input security</t>
        </is>
      </c>
      <c r="C12" s="3" t="inlineStr">
        <is>
          <t>Check invalid requests, parser failures, outages and safe error handling.</t>
        </is>
      </c>
      <c r="D12" s="3" t="n">
        <v>9</v>
      </c>
      <c r="E12" s="3" t="inlineStr">
        <is>
          <t>TC-083, TC-084, TC-085, TC-086, TC-087, TC-088, TC-089, TC-090, TC-091</t>
        </is>
      </c>
      <c r="F12" s="3">
        <f>IF(COUNTIFS('Test Cases'!$A$2:$A$108,A12,'Test Cases'!$J$2:$J$108,"Fail")&gt;0,"Fail",IF(COUNTIFS('Test Cases'!$A$2:$A$108,A12,'Test Cases'!$J$2:$J$108,"Blocked")&gt;0,"Blocked",IF(COUNTIFS('Test Cases'!$A$2:$A$108,A12,'Test Cases'!$J$2:$J$108,"Not Run")&gt;0,"Not Run",IF(COUNTIFS('Test Cases'!$A$2:$A$108,A12,'Test Cases'!$J$2:$J$108,"Pass")&gt;0,"Pass","Not Applicable"))))</f>
        <v/>
      </c>
    </row>
    <row r="13">
      <c r="A13" s="7" t="inlineStr">
        <is>
          <t>PERF-01</t>
        </is>
      </c>
      <c r="B13" s="7" t="inlineStr">
        <is>
          <t>Performance, capacity and reliability</t>
        </is>
      </c>
      <c r="C13" s="7" t="inlineStr">
        <is>
          <t>Measure realistic volumes, concurrency, loading feedback and memory behavior.</t>
        </is>
      </c>
      <c r="D13" s="7" t="n">
        <v>6</v>
      </c>
      <c r="E13" s="7" t="inlineStr">
        <is>
          <t>TC-092, TC-093, TC-094, TC-095, TC-096, TC-097</t>
        </is>
      </c>
      <c r="F13" s="7">
        <f>IF(COUNTIFS('Test Cases'!$A$2:$A$108,A13,'Test Cases'!$J$2:$J$108,"Fail")&gt;0,"Fail",IF(COUNTIFS('Test Cases'!$A$2:$A$108,A13,'Test Cases'!$J$2:$J$108,"Blocked")&gt;0,"Blocked",IF(COUNTIFS('Test Cases'!$A$2:$A$108,A13,'Test Cases'!$J$2:$J$108,"Not Run")&gt;0,"Not Run",IF(COUNTIFS('Test Cases'!$A$2:$A$108,A13,'Test Cases'!$J$2:$J$108,"Pass")&gt;0,"Pass","Not Applicable"))))</f>
        <v/>
      </c>
    </row>
    <row r="14">
      <c r="A14" s="3" t="inlineStr">
        <is>
          <t>A11Y-01</t>
        </is>
      </c>
      <c r="B14" s="3" t="inlineStr">
        <is>
          <t>Accessibility and usability</t>
        </is>
      </c>
      <c r="C14" s="3" t="inlineStr">
        <is>
          <t>Assess keyboard, screen reader semantics, contrast and feedback.</t>
        </is>
      </c>
      <c r="D14" s="3" t="n">
        <v>5</v>
      </c>
      <c r="E14" s="3" t="inlineStr">
        <is>
          <t>TC-098, TC-099, TC-100, TC-101, TC-102</t>
        </is>
      </c>
      <c r="F14" s="3">
        <f>IF(COUNTIFS('Test Cases'!$A$2:$A$108,A14,'Test Cases'!$J$2:$J$108,"Fail")&gt;0,"Fail",IF(COUNTIFS('Test Cases'!$A$2:$A$108,A14,'Test Cases'!$J$2:$J$108,"Blocked")&gt;0,"Blocked",IF(COUNTIFS('Test Cases'!$A$2:$A$108,A14,'Test Cases'!$J$2:$J$108,"Not Run")&gt;0,"Not Run",IF(COUNTIFS('Test Cases'!$A$2:$A$108,A14,'Test Cases'!$J$2:$J$108,"Pass")&gt;0,"Pass","Not Applicable"))))</f>
        <v/>
      </c>
    </row>
    <row r="15">
      <c r="A15" s="7" t="inlineStr">
        <is>
          <t>COMPAT-01</t>
        </is>
      </c>
      <c r="B15" s="7" t="inlineStr">
        <is>
          <t>Browser compatibility and session lifecycle</t>
        </is>
      </c>
      <c r="C15" s="7" t="inlineStr">
        <is>
          <t>Check supported browsers and refresh/restart behavior.</t>
        </is>
      </c>
      <c r="D15" s="7" t="n">
        <v>5</v>
      </c>
      <c r="E15" s="7" t="inlineStr">
        <is>
          <t>TC-103, TC-104, TC-105, TC-106, TC-107</t>
        </is>
      </c>
      <c r="F15" s="7">
        <f>IF(COUNTIFS('Test Cases'!$A$2:$A$108,A15,'Test Cases'!$J$2:$J$108,"Fail")&gt;0,"Fail",IF(COUNTIFS('Test Cases'!$A$2:$A$108,A15,'Test Cases'!$J$2:$J$108,"Blocked")&gt;0,"Blocked",IF(COUNTIFS('Test Cases'!$A$2:$A$108,A15,'Test Cases'!$J$2:$J$108,"Not Run")&gt;0,"Not Run",IF(COUNTIFS('Test Cases'!$A$2:$A$108,A15,'Test Cases'!$J$2:$J$108,"Pass")&gt;0,"Pass","Not Applicable"))))</f>
        <v/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6" customHeight="1">
      <c r="A1" s="15" t="inlineStr">
        <is>
          <t>RECONCILEIQ — QA TEST PACK</t>
        </is>
      </c>
    </row>
    <row r="2" ht="46" customHeight="1">
      <c r="A2" s="16" t="inlineStr">
        <is>
          <t>Purpose</t>
        </is>
      </c>
      <c r="B2" s="17" t="inlineStr">
        <is>
          <t>Scenario-grouped functional, API, negative, performance, accessibility and compatibility coverage for the current ReconcileIQ implementation.</t>
        </is>
      </c>
    </row>
    <row r="3" ht="46" customHeight="1">
      <c r="A3" s="16" t="inlineStr">
        <is>
          <t>How to execute</t>
        </is>
      </c>
      <c r="B3" s="17" t="inlineStr">
        <is>
          <t>Execute each Test Case ID. Record observed behavior in Actual Result, choose a status, and attach a screenshot/evidence path. Do not mark Pass based only on expected behavior.</t>
        </is>
      </c>
    </row>
    <row r="4" ht="46" customHeight="1">
      <c r="A4" s="16" t="inlineStr">
        <is>
          <t>Status definitions</t>
        </is>
      </c>
      <c r="B4" s="17" t="inlineStr">
        <is>
          <t>Not Run = not executed; Pass = actual meets expected; Fail = actual differs; Blocked = dependency/environment prevents execution; Not Applicable = formally excluded and reason recorded.</t>
        </is>
      </c>
    </row>
    <row r="5" ht="46" customHeight="1">
      <c r="A5" s="16" t="inlineStr">
        <is>
          <t>Screenshot evidence</t>
        </is>
      </c>
      <c r="B5" s="17" t="inlineStr">
        <is>
          <t>Capture the relevant UI state, browser network response, or API response. Use a stable name such as TC-001.png. Avoid screenshots containing sensitive production data.</t>
        </is>
      </c>
    </row>
    <row r="6" ht="46" customHeight="1">
      <c r="A6" s="16" t="inlineStr">
        <is>
          <t>Environment record</t>
        </is>
      </c>
      <c r="B6" s="17" t="inlineStr">
        <is>
          <t>Record tester, date, build/version, OS/browser, API URL, and test environment when execution begins.</t>
        </is>
      </c>
    </row>
    <row r="7" ht="70" customHeight="1">
      <c r="A7" s="16" t="inlineStr">
        <is>
          <t>Sample Source CSV</t>
        </is>
      </c>
      <c r="B7" s="17" t="inlineStr">
        <is>
          <t>EMPID,REGION,NAME,AMOUNT,NOTE
1001,West,Ana,125.00,Ready
1002,East,Ben,200.00,Blank
1003,West,Cy,75.00,OnlySource</t>
        </is>
      </c>
    </row>
    <row r="8" ht="70" customHeight="1">
      <c r="A8" s="16" t="inlineStr">
        <is>
          <t>Sample Target CSV</t>
        </is>
      </c>
      <c r="B8" s="17" t="inlineStr">
        <is>
          <t>EMPID,REGION,NAME,AMOUNT,NOTE
1001,West,Ana,125.00,Ready
1002,East,Ben,225.00,Blank
1004,South,Dee,50.00,OnlyTarget</t>
        </is>
      </c>
    </row>
    <row r="9" ht="46" customHeight="1">
      <c r="A9" s="16" t="inlineStr">
        <is>
          <t>Sample expected result</t>
        </is>
      </c>
      <c r="B9" s="17" t="inlineStr">
        <is>
          <t>Using EMPID: total=4, matched=1, mismatched=1 (1002/AMOUNT), missing_source=1 (1004), missing_target=1 (1003), success_rate=25%.</t>
        </is>
      </c>
    </row>
    <row r="10" ht="46" customHeight="1">
      <c r="A10" s="16" t="inlineStr">
        <is>
          <t>Supported formats and limit</t>
        </is>
      </c>
      <c r="B10" s="17" t="inlineStr">
        <is>
          <t>CSV, XLSX, XLS and TXT. TXT delimiter is auto-detected. API upload limit is 100 MB per file.</t>
        </is>
      </c>
    </row>
    <row r="11" ht="46" customHeight="1">
      <c r="A11" s="16" t="inlineStr">
        <is>
          <t>Current session lifecycle</t>
        </is>
      </c>
      <c r="B11" s="17" t="inlineStr">
        <is>
          <t>Runs are held in process memory, expire after 30 minutes, and at most three are retained. A backend restart clears runs.</t>
        </is>
      </c>
    </row>
    <row r="12" ht="46" customHeight="1">
      <c r="A12" s="16" t="inlineStr">
        <is>
          <t>Performance test notes</t>
        </is>
      </c>
      <c r="B12" s="17" t="inlineStr">
        <is>
          <t>Record file size, row count, hardware, elapsed time, peak memory, status and agreed SLA. A local smoke measurement is not a production SLA.</t>
        </is>
      </c>
    </row>
    <row r="13" ht="46" customHeight="1">
      <c r="A13" s="16" t="inlineStr">
        <is>
          <t>Known scope gaps</t>
        </is>
      </c>
      <c r="B13" s="17" t="inlineStr">
        <is>
          <t>Authentication/roles and durable history are not implemented. Historical trends are unavailable without persisted run history. Track as product gaps, not passed tests.</t>
        </is>
      </c>
    </row>
    <row r="14" ht="46" customHeight="1">
      <c r="A14" s="16" t="inlineStr">
        <is>
          <t>Total scenarios</t>
        </is>
      </c>
      <c r="B14" s="17" t="inlineStr">
        <is>
          <t>14</t>
        </is>
      </c>
    </row>
    <row r="15" ht="46" customHeight="1">
      <c r="A15" s="16" t="inlineStr">
        <is>
          <t>Total test cases</t>
        </is>
      </c>
      <c r="B15" s="17" t="inlineStr">
        <is>
          <t>107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2026-10-23T05:29:19Z</dcterms:created>
  <dcterms:modified xsi:type="dcterms:W3CDTF">2026-10-23T05:29:19Z</dcterms:modified>
</cp:coreProperties>
</file>